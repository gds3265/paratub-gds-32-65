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seaugds-my.sharepoint.com/personal/frgds_occitanie_reseaugds_com/Documents/Projet PASSAGE/8. OPERATIONNEL - TRAVAUX EN FERMES/Grilles projets/"/>
    </mc:Choice>
  </mc:AlternateContent>
  <xr:revisionPtr revIDLastSave="76" documentId="13_ncr:1_{6E47C75D-BA00-4001-91F3-A7BFB1D38BD8}" xr6:coauthVersionLast="47" xr6:coauthVersionMax="47" xr10:uidLastSave="{F2E77C40-82C2-4CCF-A8D9-373B5A087233}"/>
  <bookViews>
    <workbookView xWindow="-120" yWindow="-120" windowWidth="20730" windowHeight="11040" firstSheet="2" activeTab="5" xr2:uid="{00000000-000D-0000-FFFF-FFFF00000000}"/>
  </bookViews>
  <sheets>
    <sheet name="Données exploitation" sheetId="7" r:id="rId1"/>
    <sheet name="Calendrier des travaux PASSAGE" sheetId="2" r:id="rId2"/>
    <sheet name="Conseil ASG" sheetId="3" r:id="rId3"/>
    <sheet name="Bilan sanitaire Bv" sheetId="11" r:id="rId4"/>
    <sheet name="Données technico eco" sheetId="10" r:id="rId5"/>
    <sheet name="Suivi tps et budget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4" l="1"/>
  <c r="H32" i="10"/>
  <c r="F32" i="10"/>
  <c r="D32" i="10"/>
  <c r="H31" i="10"/>
  <c r="F31" i="10"/>
  <c r="D31" i="10"/>
  <c r="H30" i="10"/>
  <c r="F30" i="10"/>
  <c r="D30" i="10"/>
  <c r="H29" i="10"/>
  <c r="F29" i="10"/>
  <c r="D29" i="10"/>
  <c r="H28" i="10"/>
  <c r="F28" i="10"/>
  <c r="D28" i="10"/>
  <c r="H22" i="10"/>
  <c r="F22" i="10"/>
  <c r="D22" i="10"/>
  <c r="H21" i="10"/>
  <c r="F21" i="10"/>
  <c r="D21" i="10"/>
  <c r="H20" i="10"/>
  <c r="F20" i="10"/>
  <c r="D20" i="10"/>
  <c r="H19" i="10"/>
  <c r="F19" i="10"/>
  <c r="D19" i="10"/>
  <c r="N15" i="4"/>
  <c r="N16" i="4"/>
  <c r="N17" i="4"/>
  <c r="N20" i="4"/>
  <c r="N19" i="4"/>
  <c r="N18" i="4"/>
  <c r="Q17" i="4"/>
  <c r="N21" i="4"/>
  <c r="M13" i="4"/>
  <c r="S17" i="4" s="1"/>
  <c r="K5" i="4"/>
  <c r="P4" i="4"/>
  <c r="M3" i="4"/>
  <c r="R4" i="4" s="1"/>
  <c r="E16" i="4"/>
  <c r="E15" i="4"/>
  <c r="B11" i="4"/>
  <c r="E11" i="4" s="1"/>
  <c r="B10" i="4"/>
  <c r="E12" i="4"/>
  <c r="B17" i="4" s="1"/>
  <c r="E17" i="4" s="1"/>
  <c r="E10" i="4"/>
  <c r="E5" i="4"/>
  <c r="E6" i="4"/>
  <c r="E7" i="4"/>
  <c r="E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tc={8B6BBA41-FD62-4FDC-96E2-E6B92FB25886}</author>
  </authors>
  <commentList>
    <comment ref="B15" authorId="0" shapeId="0" xr:uid="{8B6BBA41-FD62-4FDC-96E2-E6B92FB2588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et/ou poids abattage </t>
      </text>
    </comment>
  </commentList>
</comments>
</file>

<file path=xl/sharedStrings.xml><?xml version="1.0" encoding="utf-8"?>
<sst xmlns="http://schemas.openxmlformats.org/spreadsheetml/2006/main" count="346" uniqueCount="221">
  <si>
    <t xml:space="preserve">Caractéristiques générales de l'exploitation </t>
  </si>
  <si>
    <t>Nom du ou des exploitant(e)s</t>
  </si>
  <si>
    <t>CASSAGNE Jean-Mathieu</t>
  </si>
  <si>
    <t>Nombre d'associés:</t>
  </si>
  <si>
    <t>Raison sociale</t>
  </si>
  <si>
    <t>EARL</t>
  </si>
  <si>
    <t>Adresse</t>
  </si>
  <si>
    <t>Maourens, 32190 Preneron</t>
  </si>
  <si>
    <t>Surfaces</t>
  </si>
  <si>
    <t xml:space="preserve">SAU (ha) : </t>
  </si>
  <si>
    <t>Cultures de vente (ha)</t>
  </si>
  <si>
    <t>Cultures autoconsommée par le troupeau suivi dans PASSAGE (ha)</t>
  </si>
  <si>
    <t>Prairies temporaires (ha)</t>
  </si>
  <si>
    <t>Prairies permanentes (ha)</t>
  </si>
  <si>
    <t>Estives et parcours (ha)</t>
  </si>
  <si>
    <t>Activités animales</t>
  </si>
  <si>
    <t>Atelier suivi dans PASSAGE (préciser la production)</t>
  </si>
  <si>
    <t>BV</t>
  </si>
  <si>
    <t>Nombre femelles reproductrices</t>
  </si>
  <si>
    <t>Nombre UGB total</t>
  </si>
  <si>
    <t>Race</t>
  </si>
  <si>
    <t>Atelier en place depuis (année)</t>
  </si>
  <si>
    <t>Autre atelier d'élevage (préciser la production)</t>
  </si>
  <si>
    <t>Troupeau suivi dans PASSAGE</t>
  </si>
  <si>
    <t xml:space="preserve">Nombre de génisses gardées par an : </t>
  </si>
  <si>
    <t>Pratique de l'achat de renouvellement ?</t>
  </si>
  <si>
    <t>Oui</t>
  </si>
  <si>
    <t>Non</t>
  </si>
  <si>
    <t>si oui, contrôle sanitaire ?</t>
  </si>
  <si>
    <t>Nombre de taureaux :</t>
  </si>
  <si>
    <t>Périodes de vélage</t>
  </si>
  <si>
    <t xml:space="preserve">
</t>
  </si>
  <si>
    <t xml:space="preserve">Système : </t>
  </si>
  <si>
    <t>naisseur</t>
  </si>
  <si>
    <t>naisseur/ engraisseur</t>
  </si>
  <si>
    <t>Mode de repro :</t>
  </si>
  <si>
    <t>IA</t>
  </si>
  <si>
    <t>monte naturelle</t>
  </si>
  <si>
    <t>mixte</t>
  </si>
  <si>
    <t>Mises-bas :</t>
  </si>
  <si>
    <t>en bâtiment</t>
  </si>
  <si>
    <t>en plein air</t>
  </si>
  <si>
    <t xml:space="preserve">Production sous SIQO ? </t>
  </si>
  <si>
    <t>si oui, le ou lesquels ?</t>
  </si>
  <si>
    <t>Main d'œuvre</t>
  </si>
  <si>
    <t>Exploitant agricoles (préciser combien):</t>
  </si>
  <si>
    <t>Salariés (préciser le temps de travail):</t>
  </si>
  <si>
    <t>Apprentis et stagiaires (préciser le temps de travail):</t>
  </si>
  <si>
    <t>Autres formes de travail necessaire au fonctionnement de l'exploitation: bénévolat, entraide, coup de main</t>
  </si>
  <si>
    <t>Changements importants sur l’exploitation à signaler (associés, surface, ateliers, incidents majeurs....):</t>
  </si>
  <si>
    <t>Principaux problèmes rencontrés sur l'élevage (troupeau, surfaces,....)</t>
  </si>
  <si>
    <t>Rajouter la périodicité des problèmes rencontrés
Si problèmes en bâtiment (période, site,…)</t>
  </si>
  <si>
    <t>Attentes/objectifs principaux de l'éleveur en terme de production :</t>
  </si>
  <si>
    <t>Audit initial</t>
  </si>
  <si>
    <t>Prévisionnel de calendrier</t>
  </si>
  <si>
    <t>Date</t>
  </si>
  <si>
    <t>Année</t>
  </si>
  <si>
    <t>Durée</t>
  </si>
  <si>
    <t>Mois</t>
  </si>
  <si>
    <t>T1</t>
  </si>
  <si>
    <t>T2</t>
  </si>
  <si>
    <t>T3</t>
  </si>
  <si>
    <t>T4</t>
  </si>
  <si>
    <t>Animateur des travaux</t>
  </si>
  <si>
    <t>Audit</t>
  </si>
  <si>
    <t>Initial</t>
  </si>
  <si>
    <t> </t>
  </si>
  <si>
    <t>Final</t>
  </si>
  <si>
    <t>Agent CDA participant à l'audit (spécialité)</t>
  </si>
  <si>
    <t>Suivis</t>
  </si>
  <si>
    <t>5/6 audits à répartir selon la conduite d’élevage et les besoins</t>
  </si>
  <si>
    <r>
      <t xml:space="preserve">Vétérinaire sanitaire participant à l'audit 
</t>
    </r>
    <r>
      <rPr>
        <i/>
        <sz val="10"/>
        <color theme="1"/>
        <rFont val="Aptos Narrow"/>
        <family val="2"/>
        <scheme val="minor"/>
      </rPr>
      <t>Préciser si jour complet ou une partie</t>
    </r>
  </si>
  <si>
    <t>Prévisionnel des suivis (à remplir)</t>
  </si>
  <si>
    <t>Sollicitation d'un expert GDS en appui ?</t>
  </si>
  <si>
    <t>Premier suivi</t>
  </si>
  <si>
    <t>Audit Final</t>
  </si>
  <si>
    <t>Période ciblée (gestation, repro, tarissement…)</t>
  </si>
  <si>
    <t>Agent CDA présent (spécialité)</t>
  </si>
  <si>
    <t xml:space="preserve">Vétérinaire sanitaire sollicité ?
Si oui, durée d'intervention ? </t>
  </si>
  <si>
    <r>
      <t xml:space="preserve">Vétérinaire sanitaire sollicité ?
</t>
    </r>
    <r>
      <rPr>
        <i/>
        <sz val="10"/>
        <color theme="1"/>
        <rFont val="Aptos Narrow"/>
        <family val="2"/>
        <scheme val="minor"/>
      </rPr>
      <t xml:space="preserve">Si oui, durée d'intervention ? </t>
    </r>
  </si>
  <si>
    <t>Evolution des pratiques depuis le début du projet ?</t>
  </si>
  <si>
    <t>Bilan des travaux</t>
  </si>
  <si>
    <t>Second suivi</t>
  </si>
  <si>
    <t>,</t>
  </si>
  <si>
    <t>Troisième suivi</t>
  </si>
  <si>
    <t>Quatrième suivi</t>
  </si>
  <si>
    <t>Cinquième suivi</t>
  </si>
  <si>
    <t>Sixième suivi</t>
  </si>
  <si>
    <t>Attentes de l'éleveur</t>
  </si>
  <si>
    <t>Ce qui a été mis en place par l'éleveur</t>
  </si>
  <si>
    <t>Problématiques et/ou pistes d'amélioration mises en évidence</t>
  </si>
  <si>
    <t>Conseil donné à l'éleveur</t>
  </si>
  <si>
    <t>Objectifs d'évolution/progression</t>
  </si>
  <si>
    <t>Evolution sur la durée du projet</t>
  </si>
  <si>
    <t>Pistes de travail pour les années à venir</t>
  </si>
  <si>
    <t>Bilan sanitaire et technique</t>
  </si>
  <si>
    <t>Bovin viande</t>
  </si>
  <si>
    <t>Audit Initial</t>
  </si>
  <si>
    <t>Intermédiaire (début 2027)</t>
  </si>
  <si>
    <t>Structure du troupeau</t>
  </si>
  <si>
    <t>Nombre de vaches (nb)</t>
  </si>
  <si>
    <t>Taux de renouvellement (%)</t>
  </si>
  <si>
    <t>Age moyen du troupeau</t>
  </si>
  <si>
    <t>Reproduction</t>
  </si>
  <si>
    <t>Taux de gestation (%)</t>
  </si>
  <si>
    <t>IVV – intervalle vêlage-vêlage (jours)</t>
  </si>
  <si>
    <t>% de vaches avec IVV &gt; 410 jours</t>
  </si>
  <si>
    <t>Veaux sevrés/vache (nb)</t>
  </si>
  <si>
    <t>Âge premier vêlage (mois)</t>
  </si>
  <si>
    <t>Taux de vélages difficiles (intervention requise)</t>
  </si>
  <si>
    <t>Préciser pourquoi (Rétention placentaire; césarienne
torsion ou renversement de la matrice, métrites...)</t>
  </si>
  <si>
    <t>Taux de réformes suite au vêlage</t>
  </si>
  <si>
    <t>Taux de vélage (nbre vélages/vaches présentes)</t>
  </si>
  <si>
    <t>Production</t>
  </si>
  <si>
    <t>Poids veaux sevrage (kg)</t>
  </si>
  <si>
    <t>GMQ jeunes bovins (g/j)</t>
  </si>
  <si>
    <t>Âge abattage (jours)</t>
  </si>
  <si>
    <t>Poids carcasse moyen broutard (kg)</t>
  </si>
  <si>
    <t>Poids carcasse moyen genisses (kg)</t>
  </si>
  <si>
    <t>Poids carcasse moyen réformes (kg)</t>
  </si>
  <si>
    <t>Classement moyen des carcasses</t>
  </si>
  <si>
    <t>Qualité du lait</t>
  </si>
  <si>
    <t>Brix colostrum</t>
  </si>
  <si>
    <t>Sanitaire – mortalité</t>
  </si>
  <si>
    <t>Mortalité veaux (%)</t>
  </si>
  <si>
    <t>Préciser la période avec le plus de mortalité (0-2 jours; 2-30 jours; &gt;30j)</t>
  </si>
  <si>
    <t>Mortalité adultes (%)</t>
  </si>
  <si>
    <t>Nbre avortements (dont avortements tardifs)</t>
  </si>
  <si>
    <t>Préciser si analyse, quelle est la cause identifiée</t>
  </si>
  <si>
    <t>Sanitaire – pathologies</t>
  </si>
  <si>
    <t>Diarrhées néonatales (% veaux)</t>
  </si>
  <si>
    <t>Pathologies respiratoires (% animaux)</t>
  </si>
  <si>
    <t>Préciser sur quel type d'animaux les pathologies sont les plus rencontrées</t>
  </si>
  <si>
    <t>Troubles reproduction (% femelles)</t>
  </si>
  <si>
    <t>Diarrhées (% animaux/an)</t>
  </si>
  <si>
    <t>Pneumonies (% animaux/an)</t>
  </si>
  <si>
    <t>Omphalites (% animaux/an)</t>
  </si>
  <si>
    <t>Sanitaire – gestion des traitements</t>
  </si>
  <si>
    <t>Usage antiparasitaires (traitements/an)</t>
  </si>
  <si>
    <t>Réalisations de coproscopies (quels résultats ?)
Quelles analyses sur avortements ? Résultats ?</t>
  </si>
  <si>
    <t>Usage antibiotiques (traitements/UGB/an)</t>
  </si>
  <si>
    <t>Coproscopies (Résultats)</t>
  </si>
  <si>
    <t>Alimentation</t>
  </si>
  <si>
    <t>Concentrés/vache (kg/an)</t>
  </si>
  <si>
    <t>Autonomie fourragère (%)</t>
  </si>
  <si>
    <t>Chargement (UGB/ha)</t>
  </si>
  <si>
    <t>Consommation d’eau (L/animal/jour)</t>
  </si>
  <si>
    <t>Efficience</t>
  </si>
  <si>
    <t>Kg viande/vache/an (kg)</t>
  </si>
  <si>
    <t>Kg viande/ha (kg/ha)</t>
  </si>
  <si>
    <t>Concentrés/kg viande (kg/kg)</t>
  </si>
  <si>
    <t>Données technico-économiques</t>
  </si>
  <si>
    <t>Basées sur les résultats comptables de l'exploitation</t>
  </si>
  <si>
    <t>Produits de l’exploitation</t>
  </si>
  <si>
    <t xml:space="preserve">Stade du projet </t>
  </si>
  <si>
    <r>
      <rPr>
        <sz val="10"/>
        <color rgb="FF000000"/>
        <rFont val="Arial"/>
      </rPr>
      <t xml:space="preserve">Produits animaux (lait + viande) </t>
    </r>
    <r>
      <rPr>
        <i/>
        <sz val="10"/>
        <color rgb="FF000000"/>
        <rFont val="Arial"/>
      </rPr>
      <t>(€)</t>
    </r>
  </si>
  <si>
    <t>Aides PAC totales (€)</t>
  </si>
  <si>
    <t>Prix du lait (€/1000 l)</t>
  </si>
  <si>
    <t>Lait produit (l)</t>
  </si>
  <si>
    <t>Prix kg/carcasse (e)</t>
  </si>
  <si>
    <t>Total kg carcasse produit (kg)</t>
  </si>
  <si>
    <t>Charges troupeau</t>
  </si>
  <si>
    <t>Total</t>
  </si>
  <si>
    <t>Par vache
(calcul automatique)</t>
  </si>
  <si>
    <t>Nombre de vaches moyen sur l'excercice comptable</t>
  </si>
  <si>
    <t>Charge d'aliments / concentré (€)</t>
  </si>
  <si>
    <t>Charge d'aliments / minéraux(€)</t>
  </si>
  <si>
    <t>Frais vétérinaire / honoraires + produits (€)</t>
  </si>
  <si>
    <t>Marge brute de l'atelier d'élevage</t>
  </si>
  <si>
    <t>Charges SFP</t>
  </si>
  <si>
    <t>Par ha
(calcul automatique)</t>
  </si>
  <si>
    <t>SFP (ha)</t>
  </si>
  <si>
    <t>Fertilisation (€)</t>
  </si>
  <si>
    <t>Semences (€)</t>
  </si>
  <si>
    <t>Traitements (€)</t>
  </si>
  <si>
    <t>Travaux par tiers (€)</t>
  </si>
  <si>
    <t>Autres charges - baches, ficelles... (€)</t>
  </si>
  <si>
    <t>Résultats économiques</t>
  </si>
  <si>
    <t>EBE (Excedent Brut d'Exploitation) (€)</t>
  </si>
  <si>
    <t>Revenu disponible de l'exploitation (€)</t>
  </si>
  <si>
    <t>Taux d’endettement (%)</t>
  </si>
  <si>
    <t>Commentaires :</t>
  </si>
  <si>
    <t>en blanc</t>
  </si>
  <si>
    <t>pour tous les élevage bovins</t>
  </si>
  <si>
    <t>en rose</t>
  </si>
  <si>
    <t>élements spécifiques bovin viande</t>
  </si>
  <si>
    <t>en bleu</t>
  </si>
  <si>
    <t>élements spécifiques bovin lait</t>
  </si>
  <si>
    <t>Suivi des jours de travail en fermes</t>
  </si>
  <si>
    <t>Budget prévisionnel</t>
  </si>
  <si>
    <t>Budget pour les frais vétérinaires (temps passé, déplacement…)</t>
  </si>
  <si>
    <t>Budget restant</t>
  </si>
  <si>
    <t>Prévisionnel</t>
  </si>
  <si>
    <t>Réalisé</t>
  </si>
  <si>
    <t>Date/période</t>
  </si>
  <si>
    <t>Reste à justifier</t>
  </si>
  <si>
    <t>HT</t>
  </si>
  <si>
    <t>TTC</t>
  </si>
  <si>
    <r>
      <t xml:space="preserve">Agent GDS
</t>
    </r>
    <r>
      <rPr>
        <i/>
        <sz val="10"/>
        <color theme="1"/>
        <rFont val="Aptos Narrow"/>
        <family val="2"/>
        <scheme val="minor"/>
      </rPr>
      <t>1j préparation
1j Audit</t>
    </r>
  </si>
  <si>
    <t>Factures saisies</t>
  </si>
  <si>
    <t>Montant HT</t>
  </si>
  <si>
    <t>Montant TTC</t>
  </si>
  <si>
    <t>Date de paiement</t>
  </si>
  <si>
    <t>GDS expert sollicité</t>
  </si>
  <si>
    <t>Agent CDA</t>
  </si>
  <si>
    <t>Vétérinaire</t>
  </si>
  <si>
    <t>Suivis (6 suivis prévisionnés)</t>
  </si>
  <si>
    <r>
      <t xml:space="preserve">Agent GDS
</t>
    </r>
    <r>
      <rPr>
        <i/>
        <sz val="10"/>
        <color theme="1"/>
        <rFont val="Aptos Narrow"/>
        <family val="2"/>
        <scheme val="minor"/>
      </rPr>
      <t>0,75j de préparation par suivi
0,5j de visite par suivi</t>
    </r>
  </si>
  <si>
    <r>
      <t xml:space="preserve">Agent CDA
</t>
    </r>
    <r>
      <rPr>
        <i/>
        <sz val="10"/>
        <color theme="1"/>
        <rFont val="Aptos Narrow"/>
        <family val="2"/>
        <scheme val="minor"/>
      </rPr>
      <t>Présence au suivi (0,5j/suivi)</t>
    </r>
  </si>
  <si>
    <r>
      <t xml:space="preserve">Vétérinaire
</t>
    </r>
    <r>
      <rPr>
        <i/>
        <sz val="10"/>
        <color theme="1"/>
        <rFont val="Aptos Narrow"/>
        <family val="2"/>
        <scheme val="minor"/>
      </rPr>
      <t>0,5j prévisionné par an</t>
    </r>
  </si>
  <si>
    <t>Budget pour les frais d'analyses</t>
  </si>
  <si>
    <t>Audit final</t>
  </si>
  <si>
    <t>Factures saisies et payée</t>
  </si>
  <si>
    <t>Analyse</t>
  </si>
  <si>
    <t>Code Analyse</t>
  </si>
  <si>
    <r>
      <t xml:space="preserve">Agent GDS
</t>
    </r>
    <r>
      <rPr>
        <i/>
        <sz val="10"/>
        <color theme="1"/>
        <rFont val="Aptos Narrow"/>
        <family val="2"/>
        <scheme val="minor"/>
      </rPr>
      <t>1j préparation
0,5j Audit final
2j rédaction du bilan projet</t>
    </r>
  </si>
  <si>
    <t>FA7477</t>
  </si>
  <si>
    <t>Profil Métabolique</t>
  </si>
  <si>
    <r>
      <t xml:space="preserve">Agent CDA
</t>
    </r>
    <r>
      <rPr>
        <i/>
        <sz val="10"/>
        <color theme="1"/>
        <rFont val="Aptos Narrow"/>
        <family val="2"/>
        <scheme val="minor"/>
      </rPr>
      <t>Présence au bilan (0,5j/suivi)</t>
    </r>
  </si>
  <si>
    <t>Frais analyses</t>
  </si>
  <si>
    <r>
      <t xml:space="preserve">Vétérinaire
</t>
    </r>
    <r>
      <rPr>
        <i/>
        <sz val="10"/>
        <color theme="1"/>
        <rFont val="Aptos Narrow"/>
        <family val="2"/>
        <scheme val="minor"/>
      </rPr>
      <t>Si besoin et si reste du temps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</si>
</sst>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name val="Arial"/>
    </font>
    <font>
      <b/>
      <sz val="12"/>
      <color rgb="FFFFFFFF"/>
      <name val="Aptos Narrow"/>
      <scheme val="minor"/>
    </font>
    <font>
      <sz val="10"/>
      <color rgb="FF7030A0"/>
      <name val="Aptos Narrow"/>
      <family val="2"/>
      <scheme val="minor"/>
    </font>
    <font>
      <sz val="10"/>
      <color rgb="FF7030A0"/>
      <name val="Arial"/>
      <family val="2"/>
    </font>
    <font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</font>
    <font>
      <i/>
      <sz val="10"/>
      <color rgb="FF000000"/>
      <name val="Arial"/>
    </font>
    <font>
      <sz val="11"/>
      <color theme="1"/>
      <name val="Aptos"/>
      <family val="2"/>
      <charset val="1"/>
    </font>
    <font>
      <sz val="11"/>
      <color rgb="FF000000"/>
      <name val="Aptos"/>
      <family val="2"/>
      <charset val="1"/>
    </font>
    <font>
      <sz val="10"/>
      <color theme="1"/>
      <name val="Times New Roman"/>
      <family val="1"/>
      <charset val="1"/>
    </font>
    <font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319A05"/>
        <bgColor rgb="FF319A05"/>
      </patternFill>
    </fill>
    <fill>
      <patternFill patternType="solid">
        <fgColor rgb="FF9DF777"/>
        <bgColor rgb="FF9DF777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F6C5AC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255">
    <xf numFmtId="0" fontId="0" fillId="0" borderId="0" xfId="0"/>
    <xf numFmtId="0" fontId="5" fillId="0" borderId="0" xfId="1" applyFont="1"/>
    <xf numFmtId="0" fontId="4" fillId="0" borderId="0" xfId="1" applyFont="1"/>
    <xf numFmtId="0" fontId="5" fillId="0" borderId="9" xfId="1" applyFont="1" applyBorder="1"/>
    <xf numFmtId="0" fontId="5" fillId="0" borderId="9" xfId="1" applyFont="1" applyBorder="1" applyAlignment="1">
      <alignment horizontal="right"/>
    </xf>
    <xf numFmtId="0" fontId="0" fillId="0" borderId="18" xfId="1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9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0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1" applyFont="1" applyBorder="1"/>
    <xf numFmtId="0" fontId="5" fillId="0" borderId="18" xfId="1" applyFont="1" applyBorder="1"/>
    <xf numFmtId="0" fontId="5" fillId="0" borderId="19" xfId="1" applyFont="1" applyBorder="1"/>
    <xf numFmtId="0" fontId="1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6" fillId="4" borderId="0" xfId="0" applyFont="1" applyFill="1" applyAlignment="1">
      <alignment horizontal="right" vertical="center"/>
    </xf>
    <xf numFmtId="0" fontId="16" fillId="0" borderId="6" xfId="0" applyFont="1" applyBorder="1"/>
    <xf numFmtId="0" fontId="16" fillId="0" borderId="8" xfId="0" applyFont="1" applyBorder="1"/>
    <xf numFmtId="0" fontId="16" fillId="0" borderId="7" xfId="0" applyFont="1" applyBorder="1"/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4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6" fillId="0" borderId="9" xfId="0" applyFont="1" applyBorder="1"/>
    <xf numFmtId="0" fontId="16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/>
    <xf numFmtId="0" fontId="16" fillId="0" borderId="16" xfId="0" applyFont="1" applyBorder="1"/>
    <xf numFmtId="0" fontId="16" fillId="0" borderId="17" xfId="0" applyFont="1" applyBorder="1"/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/>
    </xf>
    <xf numFmtId="0" fontId="0" fillId="0" borderId="22" xfId="0" applyBorder="1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22" xfId="0" applyBorder="1" applyAlignment="1">
      <alignment horizontal="center" vertical="center"/>
    </xf>
    <xf numFmtId="0" fontId="0" fillId="15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12" borderId="9" xfId="0" applyFont="1" applyFill="1" applyBorder="1"/>
    <xf numFmtId="0" fontId="16" fillId="1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" fillId="0" borderId="0" xfId="0" applyFont="1"/>
    <xf numFmtId="0" fontId="0" fillId="14" borderId="24" xfId="0" applyFill="1" applyBorder="1" applyAlignment="1">
      <alignment horizontal="center" vertical="center"/>
    </xf>
    <xf numFmtId="164" fontId="0" fillId="14" borderId="2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164" fontId="0" fillId="14" borderId="25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2" fillId="0" borderId="1" xfId="0" applyFont="1" applyBorder="1"/>
    <xf numFmtId="0" fontId="0" fillId="14" borderId="21" xfId="0" applyFill="1" applyBorder="1" applyAlignment="1">
      <alignment horizontal="center" vertical="center"/>
    </xf>
    <xf numFmtId="164" fontId="0" fillId="14" borderId="2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" xfId="0" applyBorder="1"/>
    <xf numFmtId="0" fontId="0" fillId="0" borderId="29" xfId="0" applyBorder="1" applyAlignment="1">
      <alignment vertical="center"/>
    </xf>
    <xf numFmtId="14" fontId="0" fillId="0" borderId="30" xfId="0" applyNumberFormat="1" applyBorder="1" applyAlignment="1">
      <alignment vertical="center"/>
    </xf>
    <xf numFmtId="0" fontId="0" fillId="11" borderId="25" xfId="0" applyFill="1" applyBorder="1" applyAlignment="1">
      <alignment horizontal="center" vertical="center"/>
    </xf>
    <xf numFmtId="0" fontId="0" fillId="0" borderId="34" xfId="0" applyBorder="1"/>
    <xf numFmtId="0" fontId="5" fillId="0" borderId="36" xfId="1" applyFont="1" applyBorder="1"/>
    <xf numFmtId="0" fontId="5" fillId="0" borderId="0" xfId="1" applyFont="1" applyAlignment="1">
      <alignment horizontal="center"/>
    </xf>
    <xf numFmtId="0" fontId="5" fillId="19" borderId="34" xfId="1" applyFont="1" applyFill="1" applyBorder="1" applyAlignment="1">
      <alignment horizontal="right"/>
    </xf>
    <xf numFmtId="0" fontId="5" fillId="19" borderId="34" xfId="1" applyFont="1" applyFill="1" applyBorder="1" applyAlignment="1">
      <alignment horizontal="right" wrapText="1"/>
    </xf>
    <xf numFmtId="0" fontId="5" fillId="0" borderId="0" xfId="1" applyFont="1" applyAlignment="1">
      <alignment horizontal="right"/>
    </xf>
    <xf numFmtId="0" fontId="5" fillId="19" borderId="36" xfId="1" applyFont="1" applyFill="1" applyBorder="1" applyAlignment="1">
      <alignment horizontal="right"/>
    </xf>
    <xf numFmtId="0" fontId="4" fillId="19" borderId="34" xfId="1" applyFont="1" applyFill="1" applyBorder="1" applyAlignment="1">
      <alignment horizontal="right" wrapText="1"/>
    </xf>
    <xf numFmtId="0" fontId="1" fillId="0" borderId="34" xfId="1" applyFont="1" applyBorder="1" applyAlignment="1">
      <alignment horizontal="right"/>
    </xf>
    <xf numFmtId="0" fontId="5" fillId="0" borderId="35" xfId="1" applyFont="1" applyBorder="1"/>
    <xf numFmtId="0" fontId="11" fillId="0" borderId="34" xfId="1" applyFont="1" applyBorder="1" applyAlignment="1">
      <alignment horizontal="right"/>
    </xf>
    <xf numFmtId="0" fontId="1" fillId="0" borderId="34" xfId="1" applyFont="1" applyBorder="1" applyAlignment="1">
      <alignment horizontal="right" vertical="center"/>
    </xf>
    <xf numFmtId="0" fontId="5" fillId="0" borderId="43" xfId="1" applyFont="1" applyBorder="1" applyAlignment="1">
      <alignment horizontal="center" vertical="center"/>
    </xf>
    <xf numFmtId="0" fontId="5" fillId="0" borderId="34" xfId="1" applyFont="1" applyBorder="1" applyAlignment="1">
      <alignment horizontal="right"/>
    </xf>
    <xf numFmtId="0" fontId="5" fillId="0" borderId="43" xfId="1" applyFont="1" applyBorder="1"/>
    <xf numFmtId="0" fontId="0" fillId="0" borderId="36" xfId="1" applyFont="1" applyBorder="1" applyAlignment="1">
      <alignment horizontal="right"/>
    </xf>
    <xf numFmtId="0" fontId="5" fillId="19" borderId="36" xfId="1" applyFont="1" applyFill="1" applyBorder="1" applyAlignment="1">
      <alignment horizontal="right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0" fillId="11" borderId="50" xfId="0" applyFill="1" applyBorder="1" applyAlignment="1">
      <alignment horizontal="center" vertical="center" wrapText="1"/>
    </xf>
    <xf numFmtId="0" fontId="0" fillId="0" borderId="51" xfId="0" applyBorder="1"/>
    <xf numFmtId="0" fontId="0" fillId="20" borderId="52" xfId="0" applyFill="1" applyBorder="1" applyAlignment="1">
      <alignment horizontal="center" vertical="center" wrapText="1"/>
    </xf>
    <xf numFmtId="0" fontId="0" fillId="0" borderId="53" xfId="0" applyBorder="1"/>
    <xf numFmtId="0" fontId="0" fillId="0" borderId="54" xfId="0" applyBorder="1"/>
    <xf numFmtId="0" fontId="20" fillId="0" borderId="9" xfId="0" applyFont="1" applyBorder="1" applyAlignment="1">
      <alignment horizontal="center" vertical="center" wrapText="1"/>
    </xf>
    <xf numFmtId="0" fontId="20" fillId="20" borderId="9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21" borderId="9" xfId="0" applyFont="1" applyFill="1" applyBorder="1"/>
    <xf numFmtId="0" fontId="0" fillId="0" borderId="28" xfId="0" applyBorder="1" applyAlignment="1">
      <alignment horizontal="center" vertical="center"/>
    </xf>
    <xf numFmtId="0" fontId="22" fillId="0" borderId="24" xfId="0" applyFont="1" applyBorder="1"/>
    <xf numFmtId="0" fontId="22" fillId="0" borderId="24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3" fillId="0" borderId="24" xfId="0" applyFont="1" applyBorder="1"/>
    <xf numFmtId="0" fontId="23" fillId="22" borderId="24" xfId="0" applyFont="1" applyFill="1" applyBorder="1"/>
    <xf numFmtId="0" fontId="0" fillId="0" borderId="24" xfId="0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7" fillId="0" borderId="24" xfId="0" applyFont="1" applyBorder="1" applyAlignment="1">
      <alignment horizontal="center"/>
    </xf>
    <xf numFmtId="0" fontId="26" fillId="0" borderId="24" xfId="0" applyFon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28" fillId="0" borderId="24" xfId="0" applyFont="1" applyBorder="1"/>
    <xf numFmtId="0" fontId="25" fillId="0" borderId="0" xfId="0" applyFont="1" applyAlignment="1">
      <alignment vertical="center" wrapText="1"/>
    </xf>
    <xf numFmtId="0" fontId="29" fillId="0" borderId="24" xfId="0" applyFont="1" applyBorder="1"/>
    <xf numFmtId="0" fontId="29" fillId="0" borderId="24" xfId="0" applyFont="1" applyBorder="1" applyAlignment="1">
      <alignment wrapText="1"/>
    </xf>
    <xf numFmtId="164" fontId="0" fillId="14" borderId="26" xfId="0" applyNumberFormat="1" applyFill="1" applyBorder="1" applyAlignment="1">
      <alignment horizontal="center" vertical="center"/>
    </xf>
    <xf numFmtId="164" fontId="0" fillId="14" borderId="27" xfId="0" applyNumberFormat="1" applyFill="1" applyBorder="1" applyAlignment="1">
      <alignment horizontal="center" vertical="center"/>
    </xf>
    <xf numFmtId="0" fontId="18" fillId="17" borderId="24" xfId="0" applyFont="1" applyFill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18" fillId="10" borderId="9" xfId="0" applyFont="1" applyFill="1" applyBorder="1" applyAlignment="1">
      <alignment horizontal="center" vertical="center"/>
    </xf>
    <xf numFmtId="0" fontId="18" fillId="10" borderId="21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11" borderId="24" xfId="0" applyFont="1" applyFill="1" applyBorder="1" applyAlignment="1">
      <alignment horizontal="center"/>
    </xf>
    <xf numFmtId="0" fontId="2" fillId="18" borderId="24" xfId="0" applyFont="1" applyFill="1" applyBorder="1" applyAlignment="1">
      <alignment horizontal="center" wrapText="1"/>
    </xf>
    <xf numFmtId="0" fontId="2" fillId="5" borderId="40" xfId="1" applyFont="1" applyFill="1" applyBorder="1" applyAlignment="1">
      <alignment horizontal="center"/>
    </xf>
    <xf numFmtId="0" fontId="4" fillId="5" borderId="41" xfId="1" applyFont="1" applyFill="1" applyBorder="1" applyAlignment="1">
      <alignment horizontal="center"/>
    </xf>
    <xf numFmtId="0" fontId="4" fillId="5" borderId="42" xfId="1" applyFont="1" applyFill="1" applyBorder="1" applyAlignment="1">
      <alignment horizontal="center"/>
    </xf>
    <xf numFmtId="0" fontId="7" fillId="2" borderId="31" xfId="1" applyFont="1" applyFill="1" applyBorder="1" applyAlignment="1">
      <alignment horizontal="center"/>
    </xf>
    <xf numFmtId="0" fontId="3" fillId="0" borderId="32" xfId="1" applyBorder="1"/>
    <xf numFmtId="0" fontId="3" fillId="0" borderId="33" xfId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0" borderId="37" xfId="1" applyFont="1" applyBorder="1" applyAlignment="1">
      <alignment horizontal="center"/>
    </xf>
    <xf numFmtId="0" fontId="5" fillId="0" borderId="38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0" borderId="3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4" fillId="5" borderId="40" xfId="1" applyFont="1" applyFill="1" applyBorder="1" applyAlignment="1">
      <alignment horizontal="center"/>
    </xf>
    <xf numFmtId="0" fontId="4" fillId="19" borderId="40" xfId="1" applyFont="1" applyFill="1" applyBorder="1" applyAlignment="1">
      <alignment horizontal="center"/>
    </xf>
    <xf numFmtId="0" fontId="4" fillId="19" borderId="41" xfId="1" applyFont="1" applyFill="1" applyBorder="1" applyAlignment="1">
      <alignment horizontal="center"/>
    </xf>
    <xf numFmtId="0" fontId="4" fillId="19" borderId="42" xfId="1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43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0" fillId="0" borderId="9" xfId="1" applyFont="1" applyBorder="1" applyAlignment="1">
      <alignment horizontal="center" wrapText="1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2" fillId="5" borderId="44" xfId="1" applyFont="1" applyFill="1" applyBorder="1" applyAlignment="1">
      <alignment horizontal="center"/>
    </xf>
    <xf numFmtId="0" fontId="4" fillId="5" borderId="45" xfId="1" applyFont="1" applyFill="1" applyBorder="1" applyAlignment="1">
      <alignment horizontal="center"/>
    </xf>
    <xf numFmtId="0" fontId="4" fillId="5" borderId="46" xfId="1" applyFont="1" applyFill="1" applyBorder="1" applyAlignment="1">
      <alignment horizontal="center"/>
    </xf>
    <xf numFmtId="0" fontId="4" fillId="5" borderId="47" xfId="1" applyFont="1" applyFill="1" applyBorder="1" applyAlignment="1">
      <alignment horizontal="center"/>
    </xf>
    <xf numFmtId="0" fontId="3" fillId="5" borderId="48" xfId="1" applyFill="1" applyBorder="1" applyAlignment="1">
      <alignment horizontal="center"/>
    </xf>
    <xf numFmtId="0" fontId="3" fillId="5" borderId="49" xfId="1" applyFill="1" applyBorder="1" applyAlignment="1">
      <alignment horizontal="center"/>
    </xf>
    <xf numFmtId="0" fontId="5" fillId="0" borderId="50" xfId="1" applyFont="1" applyBorder="1"/>
    <xf numFmtId="0" fontId="3" fillId="0" borderId="0" xfId="1"/>
    <xf numFmtId="0" fontId="6" fillId="0" borderId="51" xfId="1" applyFont="1" applyBorder="1"/>
    <xf numFmtId="0" fontId="6" fillId="0" borderId="50" xfId="1" applyFont="1" applyBorder="1"/>
    <xf numFmtId="0" fontId="6" fillId="0" borderId="52" xfId="1" applyFont="1" applyBorder="1"/>
    <xf numFmtId="0" fontId="6" fillId="0" borderId="53" xfId="1" applyFont="1" applyBorder="1"/>
    <xf numFmtId="0" fontId="6" fillId="0" borderId="54" xfId="1" applyFont="1" applyBorder="1"/>
    <xf numFmtId="0" fontId="4" fillId="19" borderId="47" xfId="1" applyFont="1" applyFill="1" applyBorder="1" applyAlignment="1">
      <alignment horizontal="center"/>
    </xf>
    <xf numFmtId="0" fontId="3" fillId="19" borderId="48" xfId="1" applyFill="1" applyBorder="1" applyAlignment="1">
      <alignment horizontal="center"/>
    </xf>
    <xf numFmtId="0" fontId="3" fillId="19" borderId="49" xfId="1" applyFill="1" applyBorder="1" applyAlignment="1">
      <alignment horizontal="center"/>
    </xf>
    <xf numFmtId="0" fontId="10" fillId="0" borderId="50" xfId="1" applyFont="1" applyBorder="1" applyAlignment="1">
      <alignment wrapText="1"/>
    </xf>
    <xf numFmtId="0" fontId="8" fillId="0" borderId="0" xfId="1" applyFont="1"/>
    <xf numFmtId="0" fontId="9" fillId="0" borderId="51" xfId="1" applyFont="1" applyBorder="1"/>
    <xf numFmtId="0" fontId="9" fillId="0" borderId="50" xfId="1" applyFont="1" applyBorder="1"/>
    <xf numFmtId="0" fontId="9" fillId="0" borderId="52" xfId="1" applyFont="1" applyBorder="1"/>
    <xf numFmtId="0" fontId="9" fillId="0" borderId="53" xfId="1" applyFont="1" applyBorder="1"/>
    <xf numFmtId="0" fontId="9" fillId="0" borderId="54" xfId="1" applyFont="1" applyBorder="1"/>
    <xf numFmtId="0" fontId="0" fillId="6" borderId="9" xfId="0" applyFill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3" fillId="22" borderId="24" xfId="0" applyFont="1" applyFill="1" applyBorder="1" applyAlignment="1">
      <alignment horizontal="center"/>
    </xf>
    <xf numFmtId="0" fontId="0" fillId="7" borderId="24" xfId="0" applyFill="1" applyBorder="1" applyAlignment="1">
      <alignment horizontal="center" vertical="center"/>
    </xf>
    <xf numFmtId="0" fontId="22" fillId="0" borderId="24" xfId="0" applyFont="1" applyBorder="1"/>
    <xf numFmtId="0" fontId="24" fillId="0" borderId="24" xfId="0" applyFont="1" applyBorder="1" applyAlignment="1">
      <alignment horizontal="center"/>
    </xf>
    <xf numFmtId="0" fontId="23" fillId="23" borderId="28" xfId="0" applyFont="1" applyFill="1" applyBorder="1" applyAlignment="1">
      <alignment horizontal="center"/>
    </xf>
    <xf numFmtId="0" fontId="23" fillId="23" borderId="55" xfId="0" applyFont="1" applyFill="1" applyBorder="1" applyAlignment="1">
      <alignment horizontal="center"/>
    </xf>
    <xf numFmtId="0" fontId="23" fillId="23" borderId="56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11" borderId="9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26" fillId="0" borderId="25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4" borderId="9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6" fillId="0" borderId="9" xfId="0" applyFont="1" applyBorder="1" applyAlignment="1">
      <alignment horizontal="right" vertical="center"/>
    </xf>
    <xf numFmtId="0" fontId="16" fillId="4" borderId="6" xfId="0" applyFont="1" applyFill="1" applyBorder="1" applyAlignment="1">
      <alignment horizontal="right" vertical="center"/>
    </xf>
    <xf numFmtId="0" fontId="16" fillId="4" borderId="7" xfId="0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right" vertical="center"/>
    </xf>
    <xf numFmtId="2" fontId="0" fillId="0" borderId="24" xfId="0" applyNumberFormat="1" applyBorder="1" applyAlignment="1">
      <alignment horizontal="center" vertical="center"/>
    </xf>
  </cellXfs>
  <cellStyles count="2">
    <cellStyle name="Normal" xfId="0" builtinId="0"/>
    <cellStyle name="Normal 2" xfId="1" xr:uid="{172EF598-A59B-4975-8FCC-E927AA85672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gèle GROUTEAU" id="{27111EB3-6D5A-4E40-B3AC-8E6B48ECAA62}" userId="S::angele.grouteau.frgds-oc@reseaugds.com::ff4f29e2-4db5-4091-85ca-0e0a7698a9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3-13T14:20:08.92" personId="{27111EB3-6D5A-4E40-B3AC-8E6B48ECAA62}" id="{8B6BBA41-FD62-4FDC-96E2-E6B92FB25886}">
    <text xml:space="preserve">et/ou poids abattage 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5D9E-1B95-4741-B526-993CE3E8C5B1}">
  <sheetPr>
    <tabColor rgb="FFFFC000"/>
  </sheetPr>
  <dimension ref="A1:M77"/>
  <sheetViews>
    <sheetView workbookViewId="0">
      <selection activeCell="B16" sqref="B16:H16"/>
    </sheetView>
  </sheetViews>
  <sheetFormatPr baseColWidth="10" defaultColWidth="9.140625" defaultRowHeight="15" x14ac:dyDescent="0.25"/>
  <cols>
    <col min="1" max="1" width="40.7109375" customWidth="1"/>
    <col min="2" max="2" width="12.140625" customWidth="1"/>
    <col min="3" max="3" width="10.5703125" customWidth="1"/>
    <col min="4" max="4" width="11.42578125" customWidth="1"/>
    <col min="5" max="5" width="12.5703125" customWidth="1"/>
    <col min="8" max="8" width="22.7109375" bestFit="1" customWidth="1"/>
  </cols>
  <sheetData>
    <row r="1" spans="1:13" ht="15.75" x14ac:dyDescent="0.25">
      <c r="A1" s="159" t="s">
        <v>0</v>
      </c>
      <c r="B1" s="160"/>
      <c r="C1" s="160"/>
      <c r="D1" s="160"/>
      <c r="E1" s="160"/>
      <c r="F1" s="160"/>
      <c r="G1" s="160"/>
      <c r="H1" s="161"/>
    </row>
    <row r="2" spans="1:13" x14ac:dyDescent="0.25">
      <c r="A2" s="87" t="s">
        <v>1</v>
      </c>
      <c r="B2" s="162" t="s">
        <v>2</v>
      </c>
      <c r="C2" s="163"/>
      <c r="D2" s="163"/>
      <c r="E2" s="163"/>
      <c r="F2" s="163"/>
      <c r="G2" s="163"/>
      <c r="H2" s="164"/>
    </row>
    <row r="3" spans="1:13" x14ac:dyDescent="0.25">
      <c r="A3" s="87" t="s">
        <v>3</v>
      </c>
      <c r="B3" s="162"/>
      <c r="C3" s="163"/>
      <c r="D3" s="163"/>
      <c r="E3" s="163"/>
      <c r="F3" s="163"/>
      <c r="G3" s="163"/>
      <c r="H3" s="164"/>
    </row>
    <row r="4" spans="1:13" x14ac:dyDescent="0.25">
      <c r="A4" s="87" t="s">
        <v>4</v>
      </c>
      <c r="B4" s="162" t="s">
        <v>5</v>
      </c>
      <c r="C4" s="163"/>
      <c r="D4" s="163"/>
      <c r="E4" s="163"/>
      <c r="F4" s="163"/>
      <c r="G4" s="163"/>
      <c r="H4" s="164"/>
    </row>
    <row r="5" spans="1:13" x14ac:dyDescent="0.25">
      <c r="A5" s="88" t="s">
        <v>6</v>
      </c>
      <c r="B5" s="165" t="s">
        <v>7</v>
      </c>
      <c r="C5" s="166"/>
      <c r="D5" s="166"/>
      <c r="E5" s="166"/>
      <c r="F5" s="166"/>
      <c r="G5" s="166"/>
      <c r="H5" s="167"/>
    </row>
    <row r="6" spans="1:13" x14ac:dyDescent="0.25">
      <c r="A6" s="1"/>
      <c r="B6" s="89"/>
      <c r="C6" s="89"/>
      <c r="D6" s="89"/>
      <c r="E6" s="89"/>
      <c r="F6" s="89"/>
      <c r="G6" s="89"/>
      <c r="H6" s="89"/>
    </row>
    <row r="7" spans="1:13" x14ac:dyDescent="0.25">
      <c r="A7" s="156" t="s">
        <v>8</v>
      </c>
      <c r="B7" s="157"/>
      <c r="C7" s="157"/>
      <c r="D7" s="157"/>
      <c r="E7" s="157"/>
      <c r="F7" s="157"/>
      <c r="G7" s="157"/>
      <c r="H7" s="158"/>
    </row>
    <row r="8" spans="1:13" x14ac:dyDescent="0.25">
      <c r="A8" s="90" t="s">
        <v>9</v>
      </c>
      <c r="B8" s="168"/>
      <c r="C8" s="169"/>
      <c r="D8" s="169"/>
      <c r="E8" s="169"/>
      <c r="F8" s="169"/>
      <c r="G8" s="169"/>
      <c r="H8" s="170"/>
    </row>
    <row r="9" spans="1:13" x14ac:dyDescent="0.25">
      <c r="A9" s="90" t="s">
        <v>10</v>
      </c>
      <c r="B9" s="168"/>
      <c r="C9" s="169"/>
      <c r="D9" s="169"/>
      <c r="E9" s="169"/>
      <c r="F9" s="169"/>
      <c r="G9" s="169"/>
      <c r="H9" s="170"/>
    </row>
    <row r="10" spans="1:13" ht="30" x14ac:dyDescent="0.25">
      <c r="A10" s="91" t="s">
        <v>11</v>
      </c>
      <c r="B10" s="168"/>
      <c r="C10" s="169"/>
      <c r="D10" s="169"/>
      <c r="E10" s="169"/>
      <c r="F10" s="169"/>
      <c r="G10" s="169"/>
      <c r="H10" s="170"/>
      <c r="I10" s="92"/>
      <c r="J10" s="171"/>
      <c r="K10" s="171"/>
      <c r="L10" s="171"/>
    </row>
    <row r="11" spans="1:13" x14ac:dyDescent="0.25">
      <c r="A11" s="90" t="s">
        <v>12</v>
      </c>
      <c r="B11" s="168"/>
      <c r="C11" s="169"/>
      <c r="D11" s="169"/>
      <c r="E11" s="169"/>
      <c r="F11" s="169"/>
      <c r="G11" s="169"/>
      <c r="H11" s="170"/>
      <c r="I11" s="92"/>
      <c r="J11" s="171"/>
      <c r="K11" s="171"/>
      <c r="L11" s="171"/>
    </row>
    <row r="12" spans="1:13" x14ac:dyDescent="0.25">
      <c r="A12" s="90" t="s">
        <v>13</v>
      </c>
      <c r="B12" s="168"/>
      <c r="C12" s="169"/>
      <c r="D12" s="169"/>
      <c r="E12" s="169"/>
      <c r="F12" s="169"/>
      <c r="G12" s="169"/>
      <c r="H12" s="170"/>
      <c r="I12" s="92"/>
      <c r="J12" s="171"/>
      <c r="K12" s="171"/>
      <c r="L12" s="171"/>
    </row>
    <row r="13" spans="1:13" x14ac:dyDescent="0.25">
      <c r="A13" s="93" t="s">
        <v>14</v>
      </c>
      <c r="B13" s="165"/>
      <c r="C13" s="166"/>
      <c r="D13" s="166"/>
      <c r="E13" s="166"/>
      <c r="F13" s="166"/>
      <c r="G13" s="166"/>
      <c r="H13" s="167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M14" s="2"/>
    </row>
    <row r="15" spans="1:13" x14ac:dyDescent="0.25">
      <c r="A15" s="172" t="s">
        <v>15</v>
      </c>
      <c r="B15" s="157"/>
      <c r="C15" s="157"/>
      <c r="D15" s="157"/>
      <c r="E15" s="157"/>
      <c r="F15" s="157"/>
      <c r="G15" s="157"/>
      <c r="H15" s="158"/>
    </row>
    <row r="16" spans="1:13" ht="30" x14ac:dyDescent="0.25">
      <c r="A16" s="94" t="s">
        <v>16</v>
      </c>
      <c r="B16" s="168" t="s">
        <v>17</v>
      </c>
      <c r="C16" s="169"/>
      <c r="D16" s="169"/>
      <c r="E16" s="169"/>
      <c r="F16" s="169"/>
      <c r="G16" s="169"/>
      <c r="H16" s="170"/>
    </row>
    <row r="17" spans="1:13" x14ac:dyDescent="0.25">
      <c r="A17" s="90" t="s">
        <v>18</v>
      </c>
      <c r="B17" s="168"/>
      <c r="C17" s="169"/>
      <c r="D17" s="169"/>
      <c r="E17" s="169"/>
      <c r="F17" s="169"/>
      <c r="G17" s="169"/>
      <c r="H17" s="170"/>
    </row>
    <row r="18" spans="1:13" x14ac:dyDescent="0.25">
      <c r="A18" s="90" t="s">
        <v>19</v>
      </c>
      <c r="B18" s="168"/>
      <c r="C18" s="169"/>
      <c r="D18" s="169"/>
      <c r="E18" s="169"/>
      <c r="F18" s="169"/>
      <c r="G18" s="169"/>
      <c r="H18" s="170"/>
    </row>
    <row r="19" spans="1:13" x14ac:dyDescent="0.25">
      <c r="A19" s="90" t="s">
        <v>20</v>
      </c>
      <c r="B19" s="168"/>
      <c r="C19" s="169"/>
      <c r="D19" s="169"/>
      <c r="E19" s="169"/>
      <c r="F19" s="169"/>
      <c r="G19" s="169"/>
      <c r="H19" s="170"/>
    </row>
    <row r="20" spans="1:13" x14ac:dyDescent="0.25">
      <c r="A20" s="90" t="s">
        <v>21</v>
      </c>
      <c r="B20" s="168"/>
      <c r="C20" s="169"/>
      <c r="D20" s="169"/>
      <c r="E20" s="169"/>
      <c r="F20" s="169"/>
      <c r="G20" s="169"/>
      <c r="H20" s="170"/>
    </row>
    <row r="21" spans="1:13" ht="30" x14ac:dyDescent="0.25">
      <c r="A21" s="94" t="s">
        <v>22</v>
      </c>
      <c r="B21" s="168"/>
      <c r="C21" s="169"/>
      <c r="D21" s="169"/>
      <c r="E21" s="169"/>
      <c r="F21" s="169"/>
      <c r="G21" s="169"/>
      <c r="H21" s="170"/>
    </row>
    <row r="22" spans="1:13" x14ac:dyDescent="0.25">
      <c r="A22" s="90" t="s">
        <v>18</v>
      </c>
      <c r="B22" s="168"/>
      <c r="C22" s="169"/>
      <c r="D22" s="169"/>
      <c r="E22" s="169"/>
      <c r="F22" s="169"/>
      <c r="G22" s="169"/>
      <c r="H22" s="170"/>
    </row>
    <row r="23" spans="1:13" x14ac:dyDescent="0.25">
      <c r="A23" s="90" t="s">
        <v>19</v>
      </c>
      <c r="B23" s="168"/>
      <c r="C23" s="169"/>
      <c r="D23" s="169"/>
      <c r="E23" s="169"/>
      <c r="F23" s="169"/>
      <c r="G23" s="169"/>
      <c r="H23" s="170"/>
    </row>
    <row r="24" spans="1:13" x14ac:dyDescent="0.25">
      <c r="A24" s="90" t="s">
        <v>20</v>
      </c>
      <c r="B24" s="168"/>
      <c r="C24" s="169"/>
      <c r="D24" s="169"/>
      <c r="E24" s="169"/>
      <c r="F24" s="169"/>
      <c r="G24" s="169"/>
      <c r="H24" s="170"/>
    </row>
    <row r="25" spans="1:13" x14ac:dyDescent="0.25">
      <c r="A25" s="93" t="s">
        <v>21</v>
      </c>
      <c r="B25" s="165"/>
      <c r="C25" s="166"/>
      <c r="D25" s="166"/>
      <c r="E25" s="166"/>
      <c r="F25" s="166"/>
      <c r="G25" s="166"/>
      <c r="H25" s="167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M26" s="2"/>
    </row>
    <row r="27" spans="1:13" x14ac:dyDescent="0.25">
      <c r="A27" s="173" t="s">
        <v>23</v>
      </c>
      <c r="B27" s="174"/>
      <c r="C27" s="174"/>
      <c r="D27" s="174"/>
      <c r="E27" s="174"/>
      <c r="F27" s="174"/>
      <c r="G27" s="174"/>
      <c r="H27" s="175"/>
    </row>
    <row r="28" spans="1:13" x14ac:dyDescent="0.25">
      <c r="A28" s="95" t="s">
        <v>24</v>
      </c>
      <c r="B28" s="176"/>
      <c r="C28" s="177"/>
      <c r="D28" s="177"/>
      <c r="E28" s="176"/>
      <c r="F28" s="176"/>
      <c r="G28" s="176"/>
      <c r="H28" s="178"/>
    </row>
    <row r="29" spans="1:13" x14ac:dyDescent="0.25">
      <c r="A29" s="95" t="s">
        <v>25</v>
      </c>
      <c r="B29" s="5" t="s">
        <v>26</v>
      </c>
      <c r="C29" s="6" t="b">
        <v>0</v>
      </c>
      <c r="D29" s="8" t="s">
        <v>27</v>
      </c>
      <c r="E29" s="7" t="b">
        <v>0</v>
      </c>
      <c r="F29" s="9"/>
      <c r="G29" s="10"/>
      <c r="H29" s="96"/>
    </row>
    <row r="30" spans="1:13" x14ac:dyDescent="0.25">
      <c r="A30" s="97" t="s">
        <v>28</v>
      </c>
      <c r="B30" s="176"/>
      <c r="C30" s="179"/>
      <c r="D30" s="179"/>
      <c r="E30" s="176"/>
      <c r="F30" s="176"/>
      <c r="G30" s="176"/>
      <c r="H30" s="178"/>
    </row>
    <row r="31" spans="1:13" x14ac:dyDescent="0.25">
      <c r="A31" s="95" t="s">
        <v>29</v>
      </c>
      <c r="B31" s="168"/>
      <c r="C31" s="169"/>
      <c r="D31" s="169"/>
      <c r="E31" s="169"/>
      <c r="F31" s="169"/>
      <c r="G31" s="169"/>
      <c r="H31" s="170"/>
    </row>
    <row r="32" spans="1:13" ht="42" customHeight="1" x14ac:dyDescent="0.25">
      <c r="A32" s="98" t="s">
        <v>30</v>
      </c>
      <c r="B32" s="180" t="s">
        <v>31</v>
      </c>
      <c r="C32" s="176"/>
      <c r="D32" s="176"/>
      <c r="E32" s="176"/>
      <c r="F32" s="176"/>
      <c r="G32" s="176"/>
      <c r="H32" s="178"/>
    </row>
    <row r="33" spans="1:8" ht="30" x14ac:dyDescent="0.25">
      <c r="A33" s="98" t="s">
        <v>32</v>
      </c>
      <c r="B33" s="11" t="s">
        <v>33</v>
      </c>
      <c r="C33" s="15" t="b">
        <v>0</v>
      </c>
      <c r="D33" s="12" t="s">
        <v>34</v>
      </c>
      <c r="E33" s="15" t="b">
        <v>0</v>
      </c>
      <c r="F33" s="181"/>
      <c r="G33" s="182"/>
      <c r="H33" s="183"/>
    </row>
    <row r="34" spans="1:8" ht="30" x14ac:dyDescent="0.25">
      <c r="A34" s="95" t="s">
        <v>35</v>
      </c>
      <c r="B34" s="11" t="s">
        <v>36</v>
      </c>
      <c r="C34" s="13" t="b">
        <v>0</v>
      </c>
      <c r="D34" s="12" t="s">
        <v>37</v>
      </c>
      <c r="E34" s="14" t="b">
        <v>0</v>
      </c>
      <c r="F34" s="11" t="s">
        <v>38</v>
      </c>
      <c r="G34" s="13" t="b">
        <v>0</v>
      </c>
      <c r="H34" s="99"/>
    </row>
    <row r="35" spans="1:8" x14ac:dyDescent="0.25">
      <c r="A35" s="100" t="s">
        <v>39</v>
      </c>
      <c r="B35" s="4" t="s">
        <v>40</v>
      </c>
      <c r="C35" s="16" t="b">
        <v>0</v>
      </c>
      <c r="D35" s="4" t="s">
        <v>41</v>
      </c>
      <c r="E35" s="16" t="b">
        <v>0</v>
      </c>
      <c r="F35" s="3"/>
      <c r="G35" s="3"/>
      <c r="H35" s="101"/>
    </row>
    <row r="36" spans="1:8" x14ac:dyDescent="0.25">
      <c r="A36" s="100" t="s">
        <v>42</v>
      </c>
      <c r="B36" s="5" t="s">
        <v>26</v>
      </c>
      <c r="C36" s="6" t="b">
        <v>0</v>
      </c>
      <c r="D36" s="8" t="s">
        <v>27</v>
      </c>
      <c r="E36" s="7" t="b">
        <v>0</v>
      </c>
      <c r="F36" s="9"/>
      <c r="G36" s="10"/>
      <c r="H36" s="96"/>
    </row>
    <row r="37" spans="1:8" x14ac:dyDescent="0.25">
      <c r="A37" s="102" t="s">
        <v>43</v>
      </c>
      <c r="B37" s="165"/>
      <c r="C37" s="166"/>
      <c r="D37" s="166"/>
      <c r="E37" s="166"/>
      <c r="F37" s="166"/>
      <c r="G37" s="166"/>
      <c r="H37" s="167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184" t="s">
        <v>44</v>
      </c>
      <c r="B39" s="185"/>
      <c r="C39" s="185"/>
      <c r="D39" s="185"/>
      <c r="E39" s="185"/>
      <c r="F39" s="185"/>
      <c r="G39" s="185"/>
      <c r="H39" s="186"/>
    </row>
    <row r="40" spans="1:8" x14ac:dyDescent="0.25">
      <c r="A40" s="90" t="s">
        <v>45</v>
      </c>
      <c r="B40" s="168"/>
      <c r="C40" s="169"/>
      <c r="D40" s="169"/>
      <c r="E40" s="169"/>
      <c r="F40" s="169"/>
      <c r="G40" s="169"/>
      <c r="H40" s="170"/>
    </row>
    <row r="41" spans="1:8" x14ac:dyDescent="0.25">
      <c r="A41" s="90" t="s">
        <v>46</v>
      </c>
      <c r="B41" s="168"/>
      <c r="C41" s="169"/>
      <c r="D41" s="169"/>
      <c r="E41" s="169"/>
      <c r="F41" s="169"/>
      <c r="G41" s="169"/>
      <c r="H41" s="170"/>
    </row>
    <row r="42" spans="1:8" ht="30" x14ac:dyDescent="0.25">
      <c r="A42" s="91" t="s">
        <v>47</v>
      </c>
      <c r="B42" s="168"/>
      <c r="C42" s="169"/>
      <c r="D42" s="169"/>
      <c r="E42" s="169"/>
      <c r="F42" s="169"/>
      <c r="G42" s="169"/>
      <c r="H42" s="170"/>
    </row>
    <row r="43" spans="1:8" ht="45" x14ac:dyDescent="0.25">
      <c r="A43" s="103" t="s">
        <v>48</v>
      </c>
      <c r="B43" s="165"/>
      <c r="C43" s="166"/>
      <c r="D43" s="166"/>
      <c r="E43" s="166"/>
      <c r="F43" s="166"/>
      <c r="G43" s="166"/>
      <c r="H43" s="167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197" t="s">
        <v>49</v>
      </c>
      <c r="B45" s="198"/>
      <c r="C45" s="198"/>
      <c r="D45" s="198"/>
      <c r="E45" s="198"/>
      <c r="F45" s="198"/>
      <c r="G45" s="198"/>
      <c r="H45" s="199"/>
    </row>
    <row r="46" spans="1:8" x14ac:dyDescent="0.25">
      <c r="A46" s="200"/>
      <c r="B46" s="201"/>
      <c r="C46" s="201"/>
      <c r="D46" s="201"/>
      <c r="E46" s="201"/>
      <c r="F46" s="201"/>
      <c r="G46" s="201"/>
      <c r="H46" s="202"/>
    </row>
    <row r="47" spans="1:8" x14ac:dyDescent="0.25">
      <c r="A47" s="203"/>
      <c r="B47" s="201"/>
      <c r="C47" s="201"/>
      <c r="D47" s="201"/>
      <c r="E47" s="201"/>
      <c r="F47" s="201"/>
      <c r="G47" s="201"/>
      <c r="H47" s="202"/>
    </row>
    <row r="48" spans="1:8" x14ac:dyDescent="0.25">
      <c r="A48" s="203"/>
      <c r="B48" s="201"/>
      <c r="C48" s="201"/>
      <c r="D48" s="201"/>
      <c r="E48" s="201"/>
      <c r="F48" s="201"/>
      <c r="G48" s="201"/>
      <c r="H48" s="202"/>
    </row>
    <row r="49" spans="1:8" x14ac:dyDescent="0.25">
      <c r="A49" s="203"/>
      <c r="B49" s="201"/>
      <c r="C49" s="201"/>
      <c r="D49" s="201"/>
      <c r="E49" s="201"/>
      <c r="F49" s="201"/>
      <c r="G49" s="201"/>
      <c r="H49" s="202"/>
    </row>
    <row r="50" spans="1:8" x14ac:dyDescent="0.25">
      <c r="A50" s="203"/>
      <c r="B50" s="201"/>
      <c r="C50" s="201"/>
      <c r="D50" s="201"/>
      <c r="E50" s="201"/>
      <c r="F50" s="201"/>
      <c r="G50" s="201"/>
      <c r="H50" s="202"/>
    </row>
    <row r="51" spans="1:8" x14ac:dyDescent="0.25">
      <c r="A51" s="203"/>
      <c r="B51" s="201"/>
      <c r="C51" s="201"/>
      <c r="D51" s="201"/>
      <c r="E51" s="201"/>
      <c r="F51" s="201"/>
      <c r="G51" s="201"/>
      <c r="H51" s="202"/>
    </row>
    <row r="52" spans="1:8" x14ac:dyDescent="0.25">
      <c r="A52" s="204"/>
      <c r="B52" s="205"/>
      <c r="C52" s="205"/>
      <c r="D52" s="205"/>
      <c r="E52" s="205"/>
      <c r="F52" s="205"/>
      <c r="G52" s="205"/>
      <c r="H52" s="206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187" t="s">
        <v>50</v>
      </c>
      <c r="B54" s="188"/>
      <c r="C54" s="188"/>
      <c r="D54" s="188"/>
      <c r="E54" s="188"/>
      <c r="F54" s="188"/>
      <c r="G54" s="188"/>
      <c r="H54" s="189"/>
    </row>
    <row r="55" spans="1:8" x14ac:dyDescent="0.25">
      <c r="A55" s="200" t="s">
        <v>51</v>
      </c>
      <c r="B55" s="201"/>
      <c r="C55" s="201"/>
      <c r="D55" s="201"/>
      <c r="E55" s="201"/>
      <c r="F55" s="201"/>
      <c r="G55" s="201"/>
      <c r="H55" s="202"/>
    </row>
    <row r="56" spans="1:8" x14ac:dyDescent="0.25">
      <c r="A56" s="203"/>
      <c r="B56" s="201"/>
      <c r="C56" s="201"/>
      <c r="D56" s="201"/>
      <c r="E56" s="201"/>
      <c r="F56" s="201"/>
      <c r="G56" s="201"/>
      <c r="H56" s="202"/>
    </row>
    <row r="57" spans="1:8" x14ac:dyDescent="0.25">
      <c r="A57" s="203"/>
      <c r="B57" s="201"/>
      <c r="C57" s="201"/>
      <c r="D57" s="201"/>
      <c r="E57" s="201"/>
      <c r="F57" s="201"/>
      <c r="G57" s="201"/>
      <c r="H57" s="202"/>
    </row>
    <row r="58" spans="1:8" x14ac:dyDescent="0.25">
      <c r="A58" s="203"/>
      <c r="B58" s="201"/>
      <c r="C58" s="201"/>
      <c r="D58" s="201"/>
      <c r="E58" s="201"/>
      <c r="F58" s="201"/>
      <c r="G58" s="201"/>
      <c r="H58" s="202"/>
    </row>
    <row r="59" spans="1:8" x14ac:dyDescent="0.25">
      <c r="A59" s="203"/>
      <c r="B59" s="201"/>
      <c r="C59" s="201"/>
      <c r="D59" s="201"/>
      <c r="E59" s="201"/>
      <c r="F59" s="201"/>
      <c r="G59" s="201"/>
      <c r="H59" s="202"/>
    </row>
    <row r="60" spans="1:8" x14ac:dyDescent="0.25">
      <c r="A60" s="203"/>
      <c r="B60" s="201"/>
      <c r="C60" s="201"/>
      <c r="D60" s="201"/>
      <c r="E60" s="201"/>
      <c r="F60" s="201"/>
      <c r="G60" s="201"/>
      <c r="H60" s="202"/>
    </row>
    <row r="61" spans="1:8" x14ac:dyDescent="0.25">
      <c r="A61" s="203"/>
      <c r="B61" s="201"/>
      <c r="C61" s="201"/>
      <c r="D61" s="201"/>
      <c r="E61" s="201"/>
      <c r="F61" s="201"/>
      <c r="G61" s="201"/>
      <c r="H61" s="202"/>
    </row>
    <row r="62" spans="1:8" x14ac:dyDescent="0.25">
      <c r="A62" s="203"/>
      <c r="B62" s="201"/>
      <c r="C62" s="201"/>
      <c r="D62" s="201"/>
      <c r="E62" s="201"/>
      <c r="F62" s="201"/>
      <c r="G62" s="201"/>
      <c r="H62" s="202"/>
    </row>
    <row r="63" spans="1:8" x14ac:dyDescent="0.25">
      <c r="A63" s="203"/>
      <c r="B63" s="201"/>
      <c r="C63" s="201"/>
      <c r="D63" s="201"/>
      <c r="E63" s="201"/>
      <c r="F63" s="201"/>
      <c r="G63" s="201"/>
      <c r="H63" s="202"/>
    </row>
    <row r="64" spans="1:8" x14ac:dyDescent="0.25">
      <c r="A64" s="203"/>
      <c r="B64" s="201"/>
      <c r="C64" s="201"/>
      <c r="D64" s="201"/>
      <c r="E64" s="201"/>
      <c r="F64" s="201"/>
      <c r="G64" s="201"/>
      <c r="H64" s="202"/>
    </row>
    <row r="65" spans="1:8" x14ac:dyDescent="0.25">
      <c r="A65" s="204"/>
      <c r="B65" s="205"/>
      <c r="C65" s="205"/>
      <c r="D65" s="205"/>
      <c r="E65" s="205"/>
      <c r="F65" s="205"/>
      <c r="G65" s="205"/>
      <c r="H65" s="206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187" t="s">
        <v>52</v>
      </c>
      <c r="B67" s="188"/>
      <c r="C67" s="188"/>
      <c r="D67" s="188"/>
      <c r="E67" s="188"/>
      <c r="F67" s="188"/>
      <c r="G67" s="188"/>
      <c r="H67" s="189"/>
    </row>
    <row r="68" spans="1:8" x14ac:dyDescent="0.25">
      <c r="A68" s="190"/>
      <c r="B68" s="191"/>
      <c r="C68" s="191"/>
      <c r="D68" s="191"/>
      <c r="E68" s="191"/>
      <c r="F68" s="191"/>
      <c r="G68" s="191"/>
      <c r="H68" s="192"/>
    </row>
    <row r="69" spans="1:8" x14ac:dyDescent="0.25">
      <c r="A69" s="193"/>
      <c r="B69" s="191"/>
      <c r="C69" s="191"/>
      <c r="D69" s="191"/>
      <c r="E69" s="191"/>
      <c r="F69" s="191"/>
      <c r="G69" s="191"/>
      <c r="H69" s="192"/>
    </row>
    <row r="70" spans="1:8" x14ac:dyDescent="0.25">
      <c r="A70" s="193"/>
      <c r="B70" s="191"/>
      <c r="C70" s="191"/>
      <c r="D70" s="191"/>
      <c r="E70" s="191"/>
      <c r="F70" s="191"/>
      <c r="G70" s="191"/>
      <c r="H70" s="192"/>
    </row>
    <row r="71" spans="1:8" x14ac:dyDescent="0.25">
      <c r="A71" s="193"/>
      <c r="B71" s="191"/>
      <c r="C71" s="191"/>
      <c r="D71" s="191"/>
      <c r="E71" s="191"/>
      <c r="F71" s="191"/>
      <c r="G71" s="191"/>
      <c r="H71" s="192"/>
    </row>
    <row r="72" spans="1:8" x14ac:dyDescent="0.25">
      <c r="A72" s="193"/>
      <c r="B72" s="191"/>
      <c r="C72" s="191"/>
      <c r="D72" s="191"/>
      <c r="E72" s="191"/>
      <c r="F72" s="191"/>
      <c r="G72" s="191"/>
      <c r="H72" s="192"/>
    </row>
    <row r="73" spans="1:8" x14ac:dyDescent="0.25">
      <c r="A73" s="193"/>
      <c r="B73" s="191"/>
      <c r="C73" s="191"/>
      <c r="D73" s="191"/>
      <c r="E73" s="191"/>
      <c r="F73" s="191"/>
      <c r="G73" s="191"/>
      <c r="H73" s="192"/>
    </row>
    <row r="74" spans="1:8" x14ac:dyDescent="0.25">
      <c r="A74" s="193"/>
      <c r="B74" s="191"/>
      <c r="C74" s="191"/>
      <c r="D74" s="191"/>
      <c r="E74" s="191"/>
      <c r="F74" s="191"/>
      <c r="G74" s="191"/>
      <c r="H74" s="192"/>
    </row>
    <row r="75" spans="1:8" x14ac:dyDescent="0.25">
      <c r="A75" s="193"/>
      <c r="B75" s="191"/>
      <c r="C75" s="191"/>
      <c r="D75" s="191"/>
      <c r="E75" s="191"/>
      <c r="F75" s="191"/>
      <c r="G75" s="191"/>
      <c r="H75" s="192"/>
    </row>
    <row r="76" spans="1:8" x14ac:dyDescent="0.25">
      <c r="A76" s="193"/>
      <c r="B76" s="191"/>
      <c r="C76" s="191"/>
      <c r="D76" s="191"/>
      <c r="E76" s="191"/>
      <c r="F76" s="191"/>
      <c r="G76" s="191"/>
      <c r="H76" s="192"/>
    </row>
    <row r="77" spans="1:8" x14ac:dyDescent="0.25">
      <c r="A77" s="194"/>
      <c r="B77" s="195"/>
      <c r="C77" s="195"/>
      <c r="D77" s="195"/>
      <c r="E77" s="195"/>
      <c r="F77" s="195"/>
      <c r="G77" s="195"/>
      <c r="H77" s="196"/>
    </row>
  </sheetData>
  <mergeCells count="44">
    <mergeCell ref="A67:H67"/>
    <mergeCell ref="A68:H77"/>
    <mergeCell ref="B42:H42"/>
    <mergeCell ref="B43:H43"/>
    <mergeCell ref="A45:H45"/>
    <mergeCell ref="A46:H52"/>
    <mergeCell ref="A54:H54"/>
    <mergeCell ref="A55:H65"/>
    <mergeCell ref="B41:H41"/>
    <mergeCell ref="B24:H24"/>
    <mergeCell ref="B25:H25"/>
    <mergeCell ref="A27:H27"/>
    <mergeCell ref="B28:H28"/>
    <mergeCell ref="B30:H30"/>
    <mergeCell ref="B31:H31"/>
    <mergeCell ref="B32:H32"/>
    <mergeCell ref="F33:H33"/>
    <mergeCell ref="B37:H37"/>
    <mergeCell ref="A39:H39"/>
    <mergeCell ref="B40:H40"/>
    <mergeCell ref="B23:H23"/>
    <mergeCell ref="B12:H12"/>
    <mergeCell ref="J12:L12"/>
    <mergeCell ref="B13:H13"/>
    <mergeCell ref="A15:H15"/>
    <mergeCell ref="B16:H16"/>
    <mergeCell ref="B17:H17"/>
    <mergeCell ref="B18:H18"/>
    <mergeCell ref="B19:H19"/>
    <mergeCell ref="B20:H20"/>
    <mergeCell ref="B21:H21"/>
    <mergeCell ref="B22:H22"/>
    <mergeCell ref="B8:H8"/>
    <mergeCell ref="B9:H9"/>
    <mergeCell ref="B10:H10"/>
    <mergeCell ref="J10:L10"/>
    <mergeCell ref="B11:H11"/>
    <mergeCell ref="J11:L11"/>
    <mergeCell ref="A7:H7"/>
    <mergeCell ref="A1:H1"/>
    <mergeCell ref="B2:H2"/>
    <mergeCell ref="B3:H3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4A04-3694-430F-BE7D-F4E31C8987EF}">
  <dimension ref="A1:Q61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47.140625" customWidth="1"/>
    <col min="2" max="2" width="39.42578125" customWidth="1"/>
    <col min="4" max="4" width="19.42578125" customWidth="1"/>
  </cols>
  <sheetData>
    <row r="1" spans="1:17" x14ac:dyDescent="0.25">
      <c r="A1" s="207" t="s">
        <v>53</v>
      </c>
      <c r="B1" s="207"/>
      <c r="D1" s="117"/>
      <c r="E1" s="210" t="s">
        <v>54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</row>
    <row r="2" spans="1:17" x14ac:dyDescent="0.25">
      <c r="A2" s="18" t="s">
        <v>55</v>
      </c>
      <c r="B2" s="18"/>
      <c r="D2" s="118" t="s">
        <v>56</v>
      </c>
      <c r="E2" s="208">
        <v>2026</v>
      </c>
      <c r="F2" s="208"/>
      <c r="G2" s="208"/>
      <c r="H2" s="208"/>
      <c r="I2" s="208"/>
      <c r="J2" s="208">
        <v>2027</v>
      </c>
      <c r="K2" s="208"/>
      <c r="L2" s="208"/>
      <c r="M2" s="208"/>
      <c r="N2" s="208">
        <v>2028</v>
      </c>
      <c r="O2" s="208"/>
      <c r="P2" s="208"/>
      <c r="Q2" s="208"/>
    </row>
    <row r="3" spans="1:17" x14ac:dyDescent="0.25">
      <c r="A3" s="18" t="s">
        <v>57</v>
      </c>
      <c r="B3" s="18"/>
      <c r="D3" s="118" t="s">
        <v>58</v>
      </c>
      <c r="E3" s="118" t="s">
        <v>59</v>
      </c>
      <c r="F3" s="211" t="s">
        <v>60</v>
      </c>
      <c r="G3" s="211"/>
      <c r="H3" s="118" t="s">
        <v>61</v>
      </c>
      <c r="I3" s="118" t="s">
        <v>62</v>
      </c>
      <c r="J3" s="118" t="s">
        <v>59</v>
      </c>
      <c r="K3" s="118" t="s">
        <v>60</v>
      </c>
      <c r="L3" s="118" t="s">
        <v>61</v>
      </c>
      <c r="M3" s="118" t="s">
        <v>62</v>
      </c>
      <c r="N3" s="118" t="s">
        <v>59</v>
      </c>
      <c r="O3" s="118" t="s">
        <v>60</v>
      </c>
      <c r="P3" s="118" t="s">
        <v>61</v>
      </c>
      <c r="Q3" s="118" t="s">
        <v>62</v>
      </c>
    </row>
    <row r="4" spans="1:17" x14ac:dyDescent="0.25">
      <c r="A4" s="18" t="s">
        <v>63</v>
      </c>
      <c r="B4" s="18"/>
      <c r="D4" s="118" t="s">
        <v>64</v>
      </c>
      <c r="E4" s="209" t="s">
        <v>65</v>
      </c>
      <c r="F4" s="209"/>
      <c r="G4" s="119" t="s">
        <v>66</v>
      </c>
      <c r="H4" s="119" t="s">
        <v>66</v>
      </c>
      <c r="I4" s="119" t="s">
        <v>66</v>
      </c>
      <c r="J4" s="119" t="s">
        <v>66</v>
      </c>
      <c r="K4" s="119" t="s">
        <v>66</v>
      </c>
      <c r="L4" s="119" t="s">
        <v>66</v>
      </c>
      <c r="M4" s="119" t="s">
        <v>66</v>
      </c>
      <c r="N4" s="119" t="s">
        <v>66</v>
      </c>
      <c r="O4" s="120"/>
      <c r="P4" s="121"/>
      <c r="Q4" s="122" t="s">
        <v>67</v>
      </c>
    </row>
    <row r="5" spans="1:17" x14ac:dyDescent="0.25">
      <c r="A5" s="19" t="s">
        <v>68</v>
      </c>
      <c r="B5" s="18"/>
      <c r="D5" s="118" t="s">
        <v>69</v>
      </c>
      <c r="E5" s="212"/>
      <c r="F5" s="212"/>
      <c r="G5" s="213" t="s">
        <v>70</v>
      </c>
      <c r="H5" s="214"/>
      <c r="I5" s="214"/>
      <c r="J5" s="214"/>
      <c r="K5" s="214"/>
      <c r="L5" s="214"/>
      <c r="M5" s="214"/>
      <c r="N5" s="214"/>
      <c r="O5" s="214"/>
      <c r="P5" s="215"/>
      <c r="Q5" s="118"/>
    </row>
    <row r="6" spans="1:17" ht="30" customHeight="1" x14ac:dyDescent="0.25">
      <c r="A6" s="19" t="s">
        <v>71</v>
      </c>
      <c r="B6" s="18"/>
      <c r="D6" s="123" t="s">
        <v>72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7" x14ac:dyDescent="0.25">
      <c r="A7" s="18" t="s">
        <v>73</v>
      </c>
      <c r="B7" s="18"/>
    </row>
    <row r="9" spans="1:17" x14ac:dyDescent="0.25">
      <c r="A9" s="216" t="s">
        <v>74</v>
      </c>
      <c r="B9" s="216"/>
      <c r="D9" s="207" t="s">
        <v>75</v>
      </c>
      <c r="E9" s="207"/>
      <c r="F9" s="207"/>
      <c r="G9" s="207"/>
      <c r="H9" s="207"/>
      <c r="I9" s="207"/>
      <c r="J9" s="207"/>
      <c r="K9" s="207"/>
      <c r="L9" s="207"/>
      <c r="M9" s="207"/>
      <c r="N9" s="207"/>
    </row>
    <row r="10" spans="1:17" x14ac:dyDescent="0.25">
      <c r="A10" s="18" t="s">
        <v>55</v>
      </c>
      <c r="B10" s="18"/>
      <c r="D10" s="217" t="s">
        <v>55</v>
      </c>
      <c r="E10" s="217"/>
      <c r="F10" s="217"/>
      <c r="G10" s="217"/>
      <c r="H10" s="162"/>
      <c r="I10" s="163"/>
      <c r="J10" s="163"/>
      <c r="K10" s="163"/>
      <c r="L10" s="163"/>
      <c r="M10" s="163"/>
      <c r="N10" s="218"/>
    </row>
    <row r="11" spans="1:17" x14ac:dyDescent="0.25">
      <c r="A11" s="18" t="s">
        <v>57</v>
      </c>
      <c r="B11" s="18"/>
      <c r="D11" s="217" t="s">
        <v>57</v>
      </c>
      <c r="E11" s="217"/>
      <c r="F11" s="217"/>
      <c r="G11" s="217"/>
      <c r="H11" s="162"/>
      <c r="I11" s="163"/>
      <c r="J11" s="163"/>
      <c r="K11" s="163"/>
      <c r="L11" s="163"/>
      <c r="M11" s="163"/>
      <c r="N11" s="218"/>
    </row>
    <row r="12" spans="1:17" x14ac:dyDescent="0.25">
      <c r="A12" s="19" t="s">
        <v>76</v>
      </c>
      <c r="B12" s="18"/>
      <c r="D12" s="217" t="s">
        <v>63</v>
      </c>
      <c r="E12" s="217"/>
      <c r="F12" s="217"/>
      <c r="G12" s="217"/>
      <c r="H12" s="162"/>
      <c r="I12" s="163"/>
      <c r="J12" s="163"/>
      <c r="K12" s="163"/>
      <c r="L12" s="163"/>
      <c r="M12" s="163"/>
      <c r="N12" s="218"/>
    </row>
    <row r="13" spans="1:17" x14ac:dyDescent="0.25">
      <c r="A13" s="18" t="s">
        <v>63</v>
      </c>
      <c r="B13" s="18"/>
      <c r="D13" s="220" t="s">
        <v>68</v>
      </c>
      <c r="E13" s="220"/>
      <c r="F13" s="220"/>
      <c r="G13" s="220"/>
      <c r="H13" s="162"/>
      <c r="I13" s="163"/>
      <c r="J13" s="163"/>
      <c r="K13" s="163"/>
      <c r="L13" s="163"/>
      <c r="M13" s="163"/>
      <c r="N13" s="218"/>
    </row>
    <row r="14" spans="1:17" ht="33.75" customHeight="1" x14ac:dyDescent="0.25">
      <c r="A14" s="21" t="s">
        <v>77</v>
      </c>
      <c r="B14" s="18"/>
      <c r="D14" s="220" t="s">
        <v>78</v>
      </c>
      <c r="E14" s="220"/>
      <c r="F14" s="220"/>
      <c r="G14" s="220"/>
      <c r="H14" s="162"/>
      <c r="I14" s="163"/>
      <c r="J14" s="163"/>
      <c r="K14" s="163"/>
      <c r="L14" s="163"/>
      <c r="M14" s="163"/>
      <c r="N14" s="218"/>
    </row>
    <row r="15" spans="1:17" ht="28.5" x14ac:dyDescent="0.25">
      <c r="A15" s="19" t="s">
        <v>79</v>
      </c>
      <c r="B15" s="18"/>
      <c r="D15" s="219" t="s">
        <v>80</v>
      </c>
      <c r="E15" s="219"/>
      <c r="F15" s="219"/>
      <c r="G15" s="219"/>
      <c r="H15" s="162"/>
      <c r="I15" s="163"/>
      <c r="J15" s="163"/>
      <c r="K15" s="163"/>
      <c r="L15" s="163"/>
      <c r="M15" s="163"/>
      <c r="N15" s="218"/>
    </row>
    <row r="16" spans="1:17" x14ac:dyDescent="0.25">
      <c r="A16" s="21" t="s">
        <v>80</v>
      </c>
      <c r="B16" s="22"/>
      <c r="D16" s="219" t="s">
        <v>81</v>
      </c>
      <c r="E16" s="219"/>
      <c r="F16" s="219"/>
      <c r="G16" s="219"/>
      <c r="H16" s="217"/>
      <c r="I16" s="217"/>
      <c r="J16" s="217"/>
      <c r="K16" s="217"/>
      <c r="L16" s="217"/>
      <c r="M16" s="217"/>
      <c r="N16" s="217"/>
    </row>
    <row r="17" spans="1:14" x14ac:dyDescent="0.25">
      <c r="D17" s="219"/>
      <c r="E17" s="219"/>
      <c r="F17" s="219"/>
      <c r="G17" s="219"/>
      <c r="H17" s="217"/>
      <c r="I17" s="217"/>
      <c r="J17" s="217"/>
      <c r="K17" s="217"/>
      <c r="L17" s="217"/>
      <c r="M17" s="217"/>
      <c r="N17" s="217"/>
    </row>
    <row r="18" spans="1:14" x14ac:dyDescent="0.25">
      <c r="A18" s="216" t="s">
        <v>82</v>
      </c>
      <c r="B18" s="216"/>
      <c r="D18" s="219"/>
      <c r="E18" s="219"/>
      <c r="F18" s="219"/>
      <c r="G18" s="219"/>
      <c r="H18" s="217"/>
      <c r="I18" s="217"/>
      <c r="J18" s="217"/>
      <c r="K18" s="217"/>
      <c r="L18" s="217"/>
      <c r="M18" s="217"/>
      <c r="N18" s="217"/>
    </row>
    <row r="19" spans="1:14" x14ac:dyDescent="0.25">
      <c r="A19" s="18" t="s">
        <v>55</v>
      </c>
      <c r="B19" s="18"/>
      <c r="D19" s="219"/>
      <c r="E19" s="219"/>
      <c r="F19" s="219"/>
      <c r="G19" s="219"/>
      <c r="H19" s="217"/>
      <c r="I19" s="217"/>
      <c r="J19" s="217"/>
      <c r="K19" s="217"/>
      <c r="L19" s="217"/>
      <c r="M19" s="217"/>
      <c r="N19" s="217"/>
    </row>
    <row r="20" spans="1:14" x14ac:dyDescent="0.25">
      <c r="A20" s="18" t="s">
        <v>57</v>
      </c>
      <c r="B20" s="18"/>
      <c r="D20" s="219"/>
      <c r="E20" s="219"/>
      <c r="F20" s="219"/>
      <c r="G20" s="219"/>
      <c r="H20" s="217"/>
      <c r="I20" s="217"/>
      <c r="J20" s="217"/>
      <c r="K20" s="217"/>
      <c r="L20" s="217"/>
      <c r="M20" s="217"/>
      <c r="N20" s="217"/>
    </row>
    <row r="21" spans="1:14" x14ac:dyDescent="0.25">
      <c r="A21" s="19" t="s">
        <v>76</v>
      </c>
      <c r="B21" s="18"/>
      <c r="D21" s="219"/>
      <c r="E21" s="219"/>
      <c r="F21" s="219"/>
      <c r="G21" s="219"/>
      <c r="H21" s="217"/>
      <c r="I21" s="217"/>
      <c r="J21" s="217"/>
      <c r="K21" s="217"/>
      <c r="L21" s="217"/>
      <c r="M21" s="217"/>
      <c r="N21" s="217"/>
    </row>
    <row r="22" spans="1:14" x14ac:dyDescent="0.25">
      <c r="A22" s="18" t="s">
        <v>63</v>
      </c>
      <c r="B22" s="18"/>
    </row>
    <row r="23" spans="1:14" x14ac:dyDescent="0.25">
      <c r="A23" s="19" t="s">
        <v>77</v>
      </c>
      <c r="B23" s="18"/>
    </row>
    <row r="24" spans="1:14" ht="28.5" x14ac:dyDescent="0.25">
      <c r="A24" s="19" t="s">
        <v>79</v>
      </c>
      <c r="B24" s="18"/>
    </row>
    <row r="25" spans="1:14" x14ac:dyDescent="0.25">
      <c r="A25" s="21" t="s">
        <v>80</v>
      </c>
      <c r="B25" s="22"/>
    </row>
    <row r="26" spans="1:14" x14ac:dyDescent="0.25">
      <c r="F26" t="s">
        <v>83</v>
      </c>
    </row>
    <row r="27" spans="1:14" x14ac:dyDescent="0.25">
      <c r="A27" s="216" t="s">
        <v>84</v>
      </c>
      <c r="B27" s="216"/>
    </row>
    <row r="28" spans="1:14" x14ac:dyDescent="0.25">
      <c r="A28" s="18" t="s">
        <v>55</v>
      </c>
      <c r="B28" s="18"/>
    </row>
    <row r="29" spans="1:14" x14ac:dyDescent="0.25">
      <c r="A29" s="18" t="s">
        <v>57</v>
      </c>
      <c r="B29" s="18"/>
    </row>
    <row r="30" spans="1:14" x14ac:dyDescent="0.25">
      <c r="A30" s="19" t="s">
        <v>76</v>
      </c>
      <c r="B30" s="18"/>
    </row>
    <row r="31" spans="1:14" x14ac:dyDescent="0.25">
      <c r="A31" s="18" t="s">
        <v>63</v>
      </c>
      <c r="B31" s="18"/>
    </row>
    <row r="32" spans="1:14" x14ac:dyDescent="0.25">
      <c r="A32" s="19" t="s">
        <v>77</v>
      </c>
      <c r="B32" s="18"/>
    </row>
    <row r="33" spans="1:2" ht="28.5" x14ac:dyDescent="0.25">
      <c r="A33" s="19" t="s">
        <v>79</v>
      </c>
      <c r="B33" s="18"/>
    </row>
    <row r="34" spans="1:2" x14ac:dyDescent="0.25">
      <c r="A34" s="21" t="s">
        <v>80</v>
      </c>
      <c r="B34" s="22"/>
    </row>
    <row r="36" spans="1:2" x14ac:dyDescent="0.25">
      <c r="A36" s="216" t="s">
        <v>85</v>
      </c>
      <c r="B36" s="216"/>
    </row>
    <row r="37" spans="1:2" x14ac:dyDescent="0.25">
      <c r="A37" s="18" t="s">
        <v>55</v>
      </c>
      <c r="B37" s="18"/>
    </row>
    <row r="38" spans="1:2" x14ac:dyDescent="0.25">
      <c r="A38" s="18" t="s">
        <v>57</v>
      </c>
      <c r="B38" s="18"/>
    </row>
    <row r="39" spans="1:2" x14ac:dyDescent="0.25">
      <c r="A39" s="19" t="s">
        <v>76</v>
      </c>
      <c r="B39" s="18"/>
    </row>
    <row r="40" spans="1:2" x14ac:dyDescent="0.25">
      <c r="A40" s="18" t="s">
        <v>63</v>
      </c>
      <c r="B40" s="18"/>
    </row>
    <row r="41" spans="1:2" x14ac:dyDescent="0.25">
      <c r="A41" s="19" t="s">
        <v>77</v>
      </c>
      <c r="B41" s="18"/>
    </row>
    <row r="42" spans="1:2" ht="28.5" x14ac:dyDescent="0.25">
      <c r="A42" s="19" t="s">
        <v>79</v>
      </c>
      <c r="B42" s="18"/>
    </row>
    <row r="43" spans="1:2" x14ac:dyDescent="0.25">
      <c r="A43" s="21" t="s">
        <v>80</v>
      </c>
      <c r="B43" s="22"/>
    </row>
    <row r="45" spans="1:2" x14ac:dyDescent="0.25">
      <c r="A45" s="216" t="s">
        <v>86</v>
      </c>
      <c r="B45" s="216"/>
    </row>
    <row r="46" spans="1:2" x14ac:dyDescent="0.25">
      <c r="A46" s="18" t="s">
        <v>55</v>
      </c>
      <c r="B46" s="18"/>
    </row>
    <row r="47" spans="1:2" x14ac:dyDescent="0.25">
      <c r="A47" s="18" t="s">
        <v>57</v>
      </c>
      <c r="B47" s="18"/>
    </row>
    <row r="48" spans="1:2" x14ac:dyDescent="0.25">
      <c r="A48" s="19" t="s">
        <v>76</v>
      </c>
      <c r="B48" s="18"/>
    </row>
    <row r="49" spans="1:2" x14ac:dyDescent="0.25">
      <c r="A49" s="18" t="s">
        <v>63</v>
      </c>
      <c r="B49" s="18"/>
    </row>
    <row r="50" spans="1:2" x14ac:dyDescent="0.25">
      <c r="A50" s="19" t="s">
        <v>77</v>
      </c>
      <c r="B50" s="18"/>
    </row>
    <row r="51" spans="1:2" ht="28.5" x14ac:dyDescent="0.25">
      <c r="A51" s="19" t="s">
        <v>79</v>
      </c>
      <c r="B51" s="18"/>
    </row>
    <row r="52" spans="1:2" x14ac:dyDescent="0.25">
      <c r="A52" s="21" t="s">
        <v>80</v>
      </c>
      <c r="B52" s="22"/>
    </row>
    <row r="54" spans="1:2" x14ac:dyDescent="0.25">
      <c r="A54" s="216" t="s">
        <v>87</v>
      </c>
      <c r="B54" s="216"/>
    </row>
    <row r="55" spans="1:2" x14ac:dyDescent="0.25">
      <c r="A55" s="18" t="s">
        <v>55</v>
      </c>
      <c r="B55" s="18"/>
    </row>
    <row r="56" spans="1:2" x14ac:dyDescent="0.25">
      <c r="A56" s="18" t="s">
        <v>57</v>
      </c>
      <c r="B56" s="18"/>
    </row>
    <row r="57" spans="1:2" x14ac:dyDescent="0.25">
      <c r="A57" s="19" t="s">
        <v>76</v>
      </c>
      <c r="B57" s="18"/>
    </row>
    <row r="58" spans="1:2" x14ac:dyDescent="0.25">
      <c r="A58" s="18" t="s">
        <v>63</v>
      </c>
      <c r="B58" s="18"/>
    </row>
    <row r="59" spans="1:2" x14ac:dyDescent="0.25">
      <c r="A59" s="19" t="s">
        <v>77</v>
      </c>
      <c r="B59" s="18"/>
    </row>
    <row r="60" spans="1:2" ht="28.5" x14ac:dyDescent="0.25">
      <c r="A60" s="19" t="s">
        <v>79</v>
      </c>
      <c r="B60" s="18"/>
    </row>
    <row r="61" spans="1:2" x14ac:dyDescent="0.25">
      <c r="A61" s="21" t="s">
        <v>80</v>
      </c>
      <c r="B61" s="22"/>
    </row>
  </sheetData>
  <mergeCells count="30">
    <mergeCell ref="A54:B54"/>
    <mergeCell ref="D9:N9"/>
    <mergeCell ref="H10:N10"/>
    <mergeCell ref="H11:N11"/>
    <mergeCell ref="H12:N12"/>
    <mergeCell ref="H13:N13"/>
    <mergeCell ref="H14:N14"/>
    <mergeCell ref="D16:G21"/>
    <mergeCell ref="H16:N21"/>
    <mergeCell ref="D13:G13"/>
    <mergeCell ref="D14:G14"/>
    <mergeCell ref="D15:G15"/>
    <mergeCell ref="H15:N15"/>
    <mergeCell ref="E5:F5"/>
    <mergeCell ref="G5:P5"/>
    <mergeCell ref="A27:B27"/>
    <mergeCell ref="A36:B36"/>
    <mergeCell ref="A45:B45"/>
    <mergeCell ref="A9:B9"/>
    <mergeCell ref="A18:B18"/>
    <mergeCell ref="D10:G10"/>
    <mergeCell ref="D11:G11"/>
    <mergeCell ref="D12:G12"/>
    <mergeCell ref="A1:B1"/>
    <mergeCell ref="J2:M2"/>
    <mergeCell ref="E4:F4"/>
    <mergeCell ref="E1:Q1"/>
    <mergeCell ref="E2:I2"/>
    <mergeCell ref="N2:Q2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D256-0801-4F73-9224-D2C02893FDA9}">
  <dimension ref="A1:N64"/>
  <sheetViews>
    <sheetView workbookViewId="0">
      <selection activeCell="A3" sqref="A3:A11"/>
    </sheetView>
  </sheetViews>
  <sheetFormatPr baseColWidth="10" defaultColWidth="9.140625" defaultRowHeight="15" x14ac:dyDescent="0.25"/>
  <cols>
    <col min="1" max="1" width="56.7109375" bestFit="1" customWidth="1"/>
    <col min="3" max="3" width="56.7109375" bestFit="1" customWidth="1"/>
    <col min="5" max="5" width="56.7109375" bestFit="1" customWidth="1"/>
    <col min="8" max="8" width="46.42578125" customWidth="1"/>
    <col min="10" max="10" width="56.7109375" bestFit="1" customWidth="1"/>
    <col min="12" max="12" width="56.7109375" bestFit="1" customWidth="1"/>
    <col min="14" max="14" width="58.85546875" customWidth="1"/>
  </cols>
  <sheetData>
    <row r="1" spans="1:14" x14ac:dyDescent="0.25">
      <c r="A1" s="17" t="s">
        <v>53</v>
      </c>
      <c r="C1" s="54" t="s">
        <v>74</v>
      </c>
      <c r="E1" s="54" t="s">
        <v>82</v>
      </c>
      <c r="G1" s="222" t="s">
        <v>84</v>
      </c>
      <c r="H1" s="222"/>
      <c r="J1" s="54" t="s">
        <v>85</v>
      </c>
      <c r="L1" s="54" t="s">
        <v>86</v>
      </c>
      <c r="N1" s="54" t="s">
        <v>87</v>
      </c>
    </row>
    <row r="2" spans="1:14" x14ac:dyDescent="0.25">
      <c r="A2" s="56" t="s">
        <v>88</v>
      </c>
      <c r="C2" s="55" t="s">
        <v>89</v>
      </c>
      <c r="E2" s="55" t="s">
        <v>89</v>
      </c>
      <c r="G2" s="223" t="s">
        <v>89</v>
      </c>
      <c r="H2" s="223"/>
      <c r="J2" s="55" t="s">
        <v>89</v>
      </c>
      <c r="L2" s="55" t="s">
        <v>89</v>
      </c>
      <c r="N2" s="55" t="s">
        <v>89</v>
      </c>
    </row>
    <row r="3" spans="1:14" x14ac:dyDescent="0.25">
      <c r="A3" s="217"/>
      <c r="C3" s="217"/>
      <c r="E3" s="217"/>
      <c r="G3" s="217"/>
      <c r="H3" s="217"/>
      <c r="J3" s="217"/>
      <c r="L3" s="217"/>
      <c r="N3" s="217"/>
    </row>
    <row r="4" spans="1:14" x14ac:dyDescent="0.25">
      <c r="A4" s="217"/>
      <c r="C4" s="217"/>
      <c r="E4" s="217"/>
      <c r="G4" s="217"/>
      <c r="H4" s="217"/>
      <c r="J4" s="217"/>
      <c r="L4" s="217"/>
      <c r="N4" s="217"/>
    </row>
    <row r="5" spans="1:14" x14ac:dyDescent="0.25">
      <c r="A5" s="217"/>
      <c r="C5" s="217"/>
      <c r="E5" s="217"/>
      <c r="G5" s="217"/>
      <c r="H5" s="217"/>
      <c r="J5" s="217"/>
      <c r="L5" s="217"/>
      <c r="N5" s="217"/>
    </row>
    <row r="6" spans="1:14" x14ac:dyDescent="0.25">
      <c r="A6" s="217"/>
      <c r="C6" s="217"/>
      <c r="E6" s="217"/>
      <c r="G6" s="217"/>
      <c r="H6" s="217"/>
      <c r="J6" s="217"/>
      <c r="L6" s="217"/>
      <c r="N6" s="217"/>
    </row>
    <row r="7" spans="1:14" x14ac:dyDescent="0.25">
      <c r="A7" s="217"/>
      <c r="C7" s="217"/>
      <c r="E7" s="217"/>
      <c r="G7" s="217"/>
      <c r="H7" s="217"/>
      <c r="J7" s="217"/>
      <c r="L7" s="217"/>
      <c r="N7" s="217"/>
    </row>
    <row r="8" spans="1:14" x14ac:dyDescent="0.25">
      <c r="A8" s="217"/>
      <c r="C8" s="217"/>
      <c r="E8" s="217"/>
      <c r="G8" s="217"/>
      <c r="H8" s="217"/>
      <c r="J8" s="217"/>
      <c r="L8" s="217"/>
      <c r="N8" s="217"/>
    </row>
    <row r="9" spans="1:14" x14ac:dyDescent="0.25">
      <c r="A9" s="217"/>
      <c r="C9" s="217"/>
      <c r="E9" s="217"/>
      <c r="G9" s="217"/>
      <c r="H9" s="217"/>
      <c r="J9" s="217"/>
      <c r="L9" s="217"/>
      <c r="N9" s="217"/>
    </row>
    <row r="10" spans="1:14" x14ac:dyDescent="0.25">
      <c r="A10" s="217"/>
      <c r="C10" s="217"/>
      <c r="E10" s="217"/>
      <c r="G10" s="217"/>
      <c r="H10" s="217"/>
      <c r="J10" s="217"/>
      <c r="L10" s="217"/>
      <c r="N10" s="217"/>
    </row>
    <row r="11" spans="1:14" x14ac:dyDescent="0.25">
      <c r="A11" s="217"/>
      <c r="C11" s="217"/>
      <c r="E11" s="217"/>
      <c r="G11" s="217"/>
      <c r="H11" s="217"/>
      <c r="J11" s="217"/>
      <c r="L11" s="217"/>
      <c r="N11" s="217"/>
    </row>
    <row r="12" spans="1:14" x14ac:dyDescent="0.25">
      <c r="A12" s="56" t="s">
        <v>90</v>
      </c>
      <c r="C12" s="55" t="s">
        <v>90</v>
      </c>
      <c r="E12" s="55" t="s">
        <v>90</v>
      </c>
      <c r="G12" s="223" t="s">
        <v>90</v>
      </c>
      <c r="H12" s="223"/>
      <c r="J12" s="55" t="s">
        <v>90</v>
      </c>
      <c r="L12" s="55" t="s">
        <v>90</v>
      </c>
      <c r="N12" s="55" t="s">
        <v>90</v>
      </c>
    </row>
    <row r="13" spans="1:14" x14ac:dyDescent="0.25">
      <c r="A13" s="217"/>
      <c r="C13" s="217"/>
      <c r="E13" s="217"/>
      <c r="G13" s="217"/>
      <c r="H13" s="217"/>
      <c r="J13" s="217"/>
      <c r="L13" s="217"/>
      <c r="N13" s="217"/>
    </row>
    <row r="14" spans="1:14" x14ac:dyDescent="0.25">
      <c r="A14" s="217"/>
      <c r="C14" s="217"/>
      <c r="E14" s="217"/>
      <c r="G14" s="217"/>
      <c r="H14" s="217"/>
      <c r="J14" s="217"/>
      <c r="L14" s="217"/>
      <c r="N14" s="217"/>
    </row>
    <row r="15" spans="1:14" x14ac:dyDescent="0.25">
      <c r="A15" s="217"/>
      <c r="C15" s="217"/>
      <c r="E15" s="217"/>
      <c r="G15" s="217"/>
      <c r="H15" s="217"/>
      <c r="J15" s="217"/>
      <c r="L15" s="217"/>
      <c r="N15" s="217"/>
    </row>
    <row r="16" spans="1:14" x14ac:dyDescent="0.25">
      <c r="A16" s="217"/>
      <c r="C16" s="217"/>
      <c r="E16" s="217"/>
      <c r="G16" s="217"/>
      <c r="H16" s="217"/>
      <c r="J16" s="217"/>
      <c r="L16" s="217"/>
      <c r="N16" s="217"/>
    </row>
    <row r="17" spans="1:14" x14ac:dyDescent="0.25">
      <c r="A17" s="217"/>
      <c r="C17" s="217"/>
      <c r="E17" s="217"/>
      <c r="G17" s="217"/>
      <c r="H17" s="217"/>
      <c r="J17" s="217"/>
      <c r="L17" s="217"/>
      <c r="N17" s="217"/>
    </row>
    <row r="18" spans="1:14" x14ac:dyDescent="0.25">
      <c r="A18" s="217"/>
      <c r="C18" s="217"/>
      <c r="E18" s="217"/>
      <c r="G18" s="217"/>
      <c r="H18" s="217"/>
      <c r="J18" s="217"/>
      <c r="L18" s="217"/>
      <c r="N18" s="217"/>
    </row>
    <row r="19" spans="1:14" x14ac:dyDescent="0.25">
      <c r="A19" s="217"/>
      <c r="C19" s="217"/>
      <c r="E19" s="217"/>
      <c r="G19" s="217"/>
      <c r="H19" s="217"/>
      <c r="J19" s="217"/>
      <c r="L19" s="217"/>
      <c r="N19" s="217"/>
    </row>
    <row r="20" spans="1:14" x14ac:dyDescent="0.25">
      <c r="A20" s="217"/>
      <c r="C20" s="217"/>
      <c r="E20" s="217"/>
      <c r="G20" s="217"/>
      <c r="H20" s="217"/>
      <c r="J20" s="217"/>
      <c r="L20" s="217"/>
      <c r="N20" s="217"/>
    </row>
    <row r="21" spans="1:14" x14ac:dyDescent="0.25">
      <c r="A21" s="217"/>
      <c r="C21" s="217"/>
      <c r="E21" s="217"/>
      <c r="G21" s="217"/>
      <c r="H21" s="217"/>
      <c r="J21" s="217"/>
      <c r="L21" s="217"/>
      <c r="N21" s="217"/>
    </row>
    <row r="22" spans="1:14" x14ac:dyDescent="0.25">
      <c r="A22" s="56" t="s">
        <v>91</v>
      </c>
      <c r="C22" s="217"/>
      <c r="E22" s="217"/>
      <c r="G22" s="217"/>
      <c r="H22" s="217"/>
      <c r="J22" s="217"/>
      <c r="L22" s="217"/>
      <c r="N22" s="217"/>
    </row>
    <row r="23" spans="1:14" x14ac:dyDescent="0.25">
      <c r="A23" s="224"/>
      <c r="C23" s="217"/>
      <c r="E23" s="217"/>
      <c r="G23" s="217"/>
      <c r="H23" s="217"/>
      <c r="J23" s="217"/>
      <c r="L23" s="217"/>
      <c r="N23" s="217"/>
    </row>
    <row r="24" spans="1:14" x14ac:dyDescent="0.25">
      <c r="A24" s="225"/>
      <c r="C24" s="217"/>
      <c r="E24" s="217"/>
      <c r="G24" s="217"/>
      <c r="H24" s="217"/>
      <c r="J24" s="217"/>
      <c r="L24" s="217"/>
      <c r="N24" s="217"/>
    </row>
    <row r="25" spans="1:14" x14ac:dyDescent="0.25">
      <c r="A25" s="225"/>
      <c r="C25" s="55" t="s">
        <v>91</v>
      </c>
      <c r="E25" s="55" t="s">
        <v>91</v>
      </c>
      <c r="G25" s="223" t="s">
        <v>91</v>
      </c>
      <c r="H25" s="223"/>
      <c r="J25" s="55" t="s">
        <v>91</v>
      </c>
      <c r="L25" s="55" t="s">
        <v>91</v>
      </c>
      <c r="N25" s="55" t="s">
        <v>91</v>
      </c>
    </row>
    <row r="26" spans="1:14" x14ac:dyDescent="0.25">
      <c r="A26" s="225"/>
      <c r="C26" s="217"/>
      <c r="E26" s="217"/>
      <c r="G26" s="217"/>
      <c r="H26" s="217"/>
      <c r="J26" s="217"/>
      <c r="L26" s="217"/>
      <c r="N26" s="217"/>
    </row>
    <row r="27" spans="1:14" x14ac:dyDescent="0.25">
      <c r="A27" s="225"/>
      <c r="C27" s="217"/>
      <c r="E27" s="217"/>
      <c r="G27" s="217"/>
      <c r="H27" s="217"/>
      <c r="J27" s="217"/>
      <c r="L27" s="217"/>
      <c r="N27" s="217"/>
    </row>
    <row r="28" spans="1:14" x14ac:dyDescent="0.25">
      <c r="A28" s="225"/>
      <c r="C28" s="217"/>
      <c r="E28" s="217"/>
      <c r="G28" s="217"/>
      <c r="H28" s="217"/>
      <c r="J28" s="217"/>
      <c r="L28" s="217"/>
      <c r="N28" s="217"/>
    </row>
    <row r="29" spans="1:14" x14ac:dyDescent="0.25">
      <c r="A29" s="225"/>
      <c r="C29" s="217"/>
      <c r="E29" s="217"/>
      <c r="G29" s="217"/>
      <c r="H29" s="217"/>
      <c r="J29" s="217"/>
      <c r="L29" s="217"/>
      <c r="N29" s="217"/>
    </row>
    <row r="30" spans="1:14" x14ac:dyDescent="0.25">
      <c r="A30" s="225"/>
      <c r="C30" s="217"/>
      <c r="E30" s="217"/>
      <c r="G30" s="217"/>
      <c r="H30" s="217"/>
      <c r="J30" s="217"/>
      <c r="L30" s="217"/>
      <c r="N30" s="217"/>
    </row>
    <row r="31" spans="1:14" x14ac:dyDescent="0.25">
      <c r="A31" s="225"/>
      <c r="C31" s="217"/>
      <c r="E31" s="217"/>
      <c r="G31" s="217"/>
      <c r="H31" s="217"/>
      <c r="J31" s="217"/>
      <c r="L31" s="217"/>
      <c r="N31" s="217"/>
    </row>
    <row r="32" spans="1:14" x14ac:dyDescent="0.25">
      <c r="A32" s="225"/>
      <c r="C32" s="217"/>
      <c r="E32" s="217"/>
      <c r="G32" s="217"/>
      <c r="H32" s="217"/>
      <c r="J32" s="217"/>
      <c r="L32" s="217"/>
      <c r="N32" s="217"/>
    </row>
    <row r="33" spans="1:14" x14ac:dyDescent="0.25">
      <c r="A33" s="225"/>
      <c r="C33" s="217"/>
      <c r="E33" s="217"/>
      <c r="G33" s="217"/>
      <c r="H33" s="217"/>
      <c r="J33" s="217"/>
      <c r="L33" s="217"/>
      <c r="N33" s="217"/>
    </row>
    <row r="34" spans="1:14" x14ac:dyDescent="0.25">
      <c r="A34" s="226"/>
      <c r="C34" s="217"/>
      <c r="E34" s="217"/>
      <c r="G34" s="217"/>
      <c r="H34" s="217"/>
      <c r="J34" s="217"/>
      <c r="L34" s="217"/>
      <c r="N34" s="217"/>
    </row>
    <row r="35" spans="1:14" x14ac:dyDescent="0.25">
      <c r="A35" s="56" t="s">
        <v>92</v>
      </c>
      <c r="C35" s="217"/>
      <c r="E35" s="217"/>
      <c r="G35" s="217"/>
      <c r="H35" s="217"/>
      <c r="J35" s="217"/>
      <c r="L35" s="217"/>
      <c r="N35" s="217"/>
    </row>
    <row r="36" spans="1:14" x14ac:dyDescent="0.25">
      <c r="A36" s="224"/>
    </row>
    <row r="37" spans="1:14" x14ac:dyDescent="0.25">
      <c r="A37" s="225"/>
    </row>
    <row r="38" spans="1:14" x14ac:dyDescent="0.25">
      <c r="A38" s="225"/>
    </row>
    <row r="39" spans="1:14" x14ac:dyDescent="0.25">
      <c r="A39" s="225"/>
    </row>
    <row r="40" spans="1:14" x14ac:dyDescent="0.25">
      <c r="A40" s="225"/>
      <c r="C40" s="227" t="s">
        <v>75</v>
      </c>
      <c r="D40" s="227"/>
      <c r="E40" s="227"/>
      <c r="F40" s="227"/>
      <c r="G40" s="227"/>
      <c r="H40" s="227"/>
    </row>
    <row r="41" spans="1:14" x14ac:dyDescent="0.25">
      <c r="A41" s="225"/>
      <c r="C41" s="221" t="s">
        <v>93</v>
      </c>
      <c r="D41" s="221"/>
      <c r="E41" s="221"/>
      <c r="F41" s="221"/>
      <c r="G41" s="221"/>
      <c r="H41" s="221"/>
    </row>
    <row r="42" spans="1:14" x14ac:dyDescent="0.25">
      <c r="A42" s="225"/>
      <c r="C42" s="217"/>
      <c r="D42" s="217"/>
      <c r="E42" s="217"/>
      <c r="F42" s="217"/>
      <c r="G42" s="217"/>
      <c r="H42" s="217"/>
    </row>
    <row r="43" spans="1:14" x14ac:dyDescent="0.25">
      <c r="A43" s="225"/>
      <c r="C43" s="217"/>
      <c r="D43" s="217"/>
      <c r="E43" s="217"/>
      <c r="F43" s="217"/>
      <c r="G43" s="217"/>
      <c r="H43" s="217"/>
    </row>
    <row r="44" spans="1:14" x14ac:dyDescent="0.25">
      <c r="A44" s="225"/>
      <c r="C44" s="217"/>
      <c r="D44" s="217"/>
      <c r="E44" s="217"/>
      <c r="F44" s="217"/>
      <c r="G44" s="217"/>
      <c r="H44" s="217"/>
    </row>
    <row r="45" spans="1:14" x14ac:dyDescent="0.25">
      <c r="A45" s="226"/>
      <c r="C45" s="217"/>
      <c r="D45" s="217"/>
      <c r="E45" s="217"/>
      <c r="F45" s="217"/>
      <c r="G45" s="217"/>
      <c r="H45" s="217"/>
    </row>
    <row r="46" spans="1:14" x14ac:dyDescent="0.25">
      <c r="C46" s="217"/>
      <c r="D46" s="217"/>
      <c r="E46" s="217"/>
      <c r="F46" s="217"/>
      <c r="G46" s="217"/>
      <c r="H46" s="217"/>
    </row>
    <row r="47" spans="1:14" x14ac:dyDescent="0.25">
      <c r="C47" s="217"/>
      <c r="D47" s="217"/>
      <c r="E47" s="217"/>
      <c r="F47" s="217"/>
      <c r="G47" s="217"/>
      <c r="H47" s="217"/>
    </row>
    <row r="48" spans="1:14" x14ac:dyDescent="0.25">
      <c r="C48" s="217"/>
      <c r="D48" s="217"/>
      <c r="E48" s="217"/>
      <c r="F48" s="217"/>
      <c r="G48" s="217"/>
      <c r="H48" s="217"/>
    </row>
    <row r="49" spans="3:8" x14ac:dyDescent="0.25">
      <c r="C49" s="217"/>
      <c r="D49" s="217"/>
      <c r="E49" s="217"/>
      <c r="F49" s="217"/>
      <c r="G49" s="217"/>
      <c r="H49" s="217"/>
    </row>
    <row r="50" spans="3:8" x14ac:dyDescent="0.25">
      <c r="C50" s="217"/>
      <c r="D50" s="217"/>
      <c r="E50" s="217"/>
      <c r="F50" s="217"/>
      <c r="G50" s="217"/>
      <c r="H50" s="217"/>
    </row>
    <row r="51" spans="3:8" x14ac:dyDescent="0.25">
      <c r="C51" s="217"/>
      <c r="D51" s="217"/>
      <c r="E51" s="217"/>
      <c r="F51" s="217"/>
      <c r="G51" s="217"/>
      <c r="H51" s="217"/>
    </row>
    <row r="52" spans="3:8" x14ac:dyDescent="0.25">
      <c r="C52" s="217"/>
      <c r="D52" s="217"/>
      <c r="E52" s="217"/>
      <c r="F52" s="217"/>
      <c r="G52" s="217"/>
      <c r="H52" s="217"/>
    </row>
    <row r="53" spans="3:8" x14ac:dyDescent="0.25">
      <c r="C53" s="221" t="s">
        <v>94</v>
      </c>
      <c r="D53" s="221"/>
      <c r="E53" s="221"/>
      <c r="F53" s="221"/>
      <c r="G53" s="221"/>
      <c r="H53" s="221"/>
    </row>
    <row r="54" spans="3:8" x14ac:dyDescent="0.25">
      <c r="C54" s="217"/>
      <c r="D54" s="217"/>
      <c r="E54" s="217"/>
      <c r="F54" s="217"/>
      <c r="G54" s="217"/>
      <c r="H54" s="217"/>
    </row>
    <row r="55" spans="3:8" x14ac:dyDescent="0.25">
      <c r="C55" s="217"/>
      <c r="D55" s="217"/>
      <c r="E55" s="217"/>
      <c r="F55" s="217"/>
      <c r="G55" s="217"/>
      <c r="H55" s="217"/>
    </row>
    <row r="56" spans="3:8" x14ac:dyDescent="0.25">
      <c r="C56" s="217"/>
      <c r="D56" s="217"/>
      <c r="E56" s="217"/>
      <c r="F56" s="217"/>
      <c r="G56" s="217"/>
      <c r="H56" s="217"/>
    </row>
    <row r="57" spans="3:8" x14ac:dyDescent="0.25">
      <c r="C57" s="217"/>
      <c r="D57" s="217"/>
      <c r="E57" s="217"/>
      <c r="F57" s="217"/>
      <c r="G57" s="217"/>
      <c r="H57" s="217"/>
    </row>
    <row r="58" spans="3:8" x14ac:dyDescent="0.25">
      <c r="C58" s="217"/>
      <c r="D58" s="217"/>
      <c r="E58" s="217"/>
      <c r="F58" s="217"/>
      <c r="G58" s="217"/>
      <c r="H58" s="217"/>
    </row>
    <row r="59" spans="3:8" x14ac:dyDescent="0.25">
      <c r="C59" s="217"/>
      <c r="D59" s="217"/>
      <c r="E59" s="217"/>
      <c r="F59" s="217"/>
      <c r="G59" s="217"/>
      <c r="H59" s="217"/>
    </row>
    <row r="60" spans="3:8" x14ac:dyDescent="0.25">
      <c r="C60" s="217"/>
      <c r="D60" s="217"/>
      <c r="E60" s="217"/>
      <c r="F60" s="217"/>
      <c r="G60" s="217"/>
      <c r="H60" s="217"/>
    </row>
    <row r="61" spans="3:8" x14ac:dyDescent="0.25">
      <c r="C61" s="217"/>
      <c r="D61" s="217"/>
      <c r="E61" s="217"/>
      <c r="F61" s="217"/>
      <c r="G61" s="217"/>
      <c r="H61" s="217"/>
    </row>
    <row r="62" spans="3:8" x14ac:dyDescent="0.25">
      <c r="C62" s="217"/>
      <c r="D62" s="217"/>
      <c r="E62" s="217"/>
      <c r="F62" s="217"/>
      <c r="G62" s="217"/>
      <c r="H62" s="217"/>
    </row>
    <row r="63" spans="3:8" x14ac:dyDescent="0.25">
      <c r="C63" s="217"/>
      <c r="D63" s="217"/>
      <c r="E63" s="217"/>
      <c r="F63" s="217"/>
      <c r="G63" s="217"/>
      <c r="H63" s="217"/>
    </row>
    <row r="64" spans="3:8" x14ac:dyDescent="0.25">
      <c r="C64" s="217"/>
      <c r="D64" s="217"/>
      <c r="E64" s="217"/>
      <c r="F64" s="217"/>
      <c r="G64" s="217"/>
      <c r="H64" s="217"/>
    </row>
  </sheetData>
  <mergeCells count="31">
    <mergeCell ref="A3:A11"/>
    <mergeCell ref="A36:A45"/>
    <mergeCell ref="E3:E11"/>
    <mergeCell ref="E13:E24"/>
    <mergeCell ref="E26:E35"/>
    <mergeCell ref="C3:C11"/>
    <mergeCell ref="C13:C24"/>
    <mergeCell ref="C40:H40"/>
    <mergeCell ref="C41:H41"/>
    <mergeCell ref="C42:H52"/>
    <mergeCell ref="A13:A21"/>
    <mergeCell ref="A23:A34"/>
    <mergeCell ref="G26:H35"/>
    <mergeCell ref="G25:H25"/>
    <mergeCell ref="C26:C35"/>
    <mergeCell ref="G1:H1"/>
    <mergeCell ref="G2:H2"/>
    <mergeCell ref="G3:H11"/>
    <mergeCell ref="G12:H12"/>
    <mergeCell ref="G13:H24"/>
    <mergeCell ref="J3:J11"/>
    <mergeCell ref="L3:L11"/>
    <mergeCell ref="N3:N11"/>
    <mergeCell ref="J13:J24"/>
    <mergeCell ref="L13:L24"/>
    <mergeCell ref="N13:N24"/>
    <mergeCell ref="C53:H53"/>
    <mergeCell ref="C54:H64"/>
    <mergeCell ref="J26:J35"/>
    <mergeCell ref="L26:L35"/>
    <mergeCell ref="N26:N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91AB-A141-4A7D-8D6B-4E040CD46296}">
  <dimension ref="A1:G40"/>
  <sheetViews>
    <sheetView workbookViewId="0">
      <selection sqref="A1:E1"/>
    </sheetView>
  </sheetViews>
  <sheetFormatPr baseColWidth="10" defaultColWidth="9.140625" defaultRowHeight="15" x14ac:dyDescent="0.25"/>
  <cols>
    <col min="1" max="1" width="31.7109375" bestFit="1" customWidth="1"/>
    <col min="2" max="2" width="36.5703125" bestFit="1" customWidth="1"/>
    <col min="3" max="3" width="10" bestFit="1" customWidth="1"/>
    <col min="4" max="4" width="22.7109375" bestFit="1" customWidth="1"/>
    <col min="5" max="5" width="9.5703125" bestFit="1" customWidth="1"/>
    <col min="7" max="7" width="47.140625" style="124" customWidth="1"/>
  </cols>
  <sheetData>
    <row r="1" spans="1:7" ht="15.75" x14ac:dyDescent="0.25">
      <c r="A1" s="232" t="s">
        <v>95</v>
      </c>
      <c r="B1" s="232"/>
      <c r="C1" s="232"/>
      <c r="D1" s="232"/>
      <c r="E1" s="232"/>
    </row>
    <row r="2" spans="1:7" x14ac:dyDescent="0.25">
      <c r="A2" s="233" t="s">
        <v>96</v>
      </c>
      <c r="B2" s="233"/>
      <c r="C2" s="125" t="s">
        <v>97</v>
      </c>
      <c r="D2" s="125" t="s">
        <v>98</v>
      </c>
      <c r="E2" s="125" t="s">
        <v>75</v>
      </c>
    </row>
    <row r="3" spans="1:7" x14ac:dyDescent="0.25">
      <c r="A3" s="231" t="s">
        <v>99</v>
      </c>
      <c r="B3" s="127" t="s">
        <v>100</v>
      </c>
      <c r="C3" s="125"/>
      <c r="D3" s="125"/>
      <c r="E3" s="125"/>
    </row>
    <row r="4" spans="1:7" x14ac:dyDescent="0.25">
      <c r="A4" s="231"/>
      <c r="B4" s="127" t="s">
        <v>101</v>
      </c>
      <c r="C4" s="75"/>
      <c r="D4" s="128"/>
      <c r="E4" s="128"/>
      <c r="G4" s="129"/>
    </row>
    <row r="5" spans="1:7" x14ac:dyDescent="0.25">
      <c r="A5" s="231"/>
      <c r="B5" s="127" t="s">
        <v>102</v>
      </c>
      <c r="C5" s="75"/>
      <c r="D5" s="128"/>
      <c r="E5" s="128"/>
      <c r="G5" s="129"/>
    </row>
    <row r="6" spans="1:7" x14ac:dyDescent="0.25">
      <c r="A6" s="231" t="s">
        <v>103</v>
      </c>
      <c r="B6" s="127" t="s">
        <v>104</v>
      </c>
      <c r="C6" s="75"/>
      <c r="D6" s="128"/>
      <c r="E6" s="128"/>
      <c r="G6" s="129"/>
    </row>
    <row r="7" spans="1:7" x14ac:dyDescent="0.25">
      <c r="A7" s="231"/>
      <c r="B7" s="127" t="s">
        <v>105</v>
      </c>
      <c r="C7" s="75"/>
      <c r="D7" s="128"/>
      <c r="E7" s="128"/>
    </row>
    <row r="8" spans="1:7" x14ac:dyDescent="0.25">
      <c r="A8" s="231"/>
      <c r="B8" s="130" t="s">
        <v>106</v>
      </c>
      <c r="C8" s="75"/>
      <c r="D8" s="128"/>
      <c r="E8" s="128"/>
    </row>
    <row r="9" spans="1:7" x14ac:dyDescent="0.25">
      <c r="A9" s="231"/>
      <c r="B9" s="127" t="s">
        <v>107</v>
      </c>
      <c r="C9" s="75"/>
      <c r="D9" s="128"/>
      <c r="E9" s="128"/>
    </row>
    <row r="10" spans="1:7" x14ac:dyDescent="0.25">
      <c r="A10" s="231"/>
      <c r="B10" s="127" t="s">
        <v>108</v>
      </c>
      <c r="C10" s="75"/>
      <c r="D10" s="128"/>
      <c r="E10" s="128"/>
    </row>
    <row r="11" spans="1:7" ht="45" x14ac:dyDescent="0.25">
      <c r="A11" s="231"/>
      <c r="B11" s="131" t="s">
        <v>109</v>
      </c>
      <c r="C11" s="75"/>
      <c r="D11" s="128"/>
      <c r="E11" s="128"/>
      <c r="G11" s="129" t="s">
        <v>110</v>
      </c>
    </row>
    <row r="12" spans="1:7" x14ac:dyDescent="0.25">
      <c r="A12" s="231"/>
      <c r="B12" s="130" t="s">
        <v>111</v>
      </c>
      <c r="C12" s="75"/>
      <c r="D12" s="128"/>
      <c r="E12" s="128"/>
    </row>
    <row r="13" spans="1:7" ht="30" x14ac:dyDescent="0.25">
      <c r="A13" s="231"/>
      <c r="B13" s="127" t="s">
        <v>112</v>
      </c>
      <c r="C13" s="75"/>
      <c r="D13" s="128"/>
      <c r="E13" s="128"/>
    </row>
    <row r="14" spans="1:7" x14ac:dyDescent="0.25">
      <c r="A14" s="231" t="s">
        <v>113</v>
      </c>
      <c r="B14" s="127" t="s">
        <v>114</v>
      </c>
      <c r="C14" s="75"/>
      <c r="D14" s="128"/>
      <c r="E14" s="128"/>
      <c r="G14" s="129"/>
    </row>
    <row r="15" spans="1:7" x14ac:dyDescent="0.25">
      <c r="A15" s="231"/>
      <c r="B15" s="127" t="s">
        <v>115</v>
      </c>
      <c r="C15" s="75"/>
      <c r="D15" s="128"/>
      <c r="E15" s="128"/>
    </row>
    <row r="16" spans="1:7" x14ac:dyDescent="0.25">
      <c r="A16" s="231"/>
      <c r="B16" s="127" t="s">
        <v>116</v>
      </c>
      <c r="C16" s="75"/>
      <c r="D16" s="128"/>
      <c r="E16" s="128"/>
    </row>
    <row r="17" spans="1:7" x14ac:dyDescent="0.25">
      <c r="A17" s="231"/>
      <c r="B17" s="127" t="s">
        <v>117</v>
      </c>
      <c r="C17" s="75"/>
      <c r="D17" s="128"/>
      <c r="E17" s="128"/>
    </row>
    <row r="18" spans="1:7" x14ac:dyDescent="0.25">
      <c r="A18" s="231"/>
      <c r="B18" s="127" t="s">
        <v>118</v>
      </c>
      <c r="C18" s="75"/>
      <c r="D18" s="128"/>
      <c r="E18" s="128"/>
    </row>
    <row r="19" spans="1:7" x14ac:dyDescent="0.25">
      <c r="A19" s="231"/>
      <c r="B19" s="130" t="s">
        <v>119</v>
      </c>
      <c r="C19" s="75"/>
      <c r="D19" s="128"/>
      <c r="E19" s="128"/>
    </row>
    <row r="20" spans="1:7" x14ac:dyDescent="0.25">
      <c r="A20" s="231"/>
      <c r="B20" s="130" t="s">
        <v>120</v>
      </c>
      <c r="C20" s="75"/>
      <c r="D20" s="128"/>
      <c r="E20" s="128"/>
    </row>
    <row r="21" spans="1:7" x14ac:dyDescent="0.25">
      <c r="A21" s="126" t="s">
        <v>121</v>
      </c>
      <c r="B21" s="127" t="s">
        <v>122</v>
      </c>
      <c r="C21" s="75"/>
      <c r="D21" s="128"/>
      <c r="E21" s="128"/>
      <c r="G21" s="129"/>
    </row>
    <row r="22" spans="1:7" x14ac:dyDescent="0.25">
      <c r="A22" s="231" t="s">
        <v>123</v>
      </c>
      <c r="B22" s="127" t="s">
        <v>124</v>
      </c>
      <c r="C22" s="75"/>
      <c r="D22" s="128"/>
      <c r="E22" s="128"/>
      <c r="G22" s="124" t="s">
        <v>125</v>
      </c>
    </row>
    <row r="23" spans="1:7" x14ac:dyDescent="0.25">
      <c r="A23" s="231"/>
      <c r="B23" s="127" t="s">
        <v>126</v>
      </c>
      <c r="C23" s="75"/>
      <c r="D23" s="128"/>
      <c r="E23" s="128"/>
    </row>
    <row r="24" spans="1:7" ht="30" x14ac:dyDescent="0.25">
      <c r="A24" s="231"/>
      <c r="B24" s="127" t="s">
        <v>127</v>
      </c>
      <c r="C24" s="75"/>
      <c r="D24" s="128"/>
      <c r="E24" s="128"/>
      <c r="G24" s="124" t="s">
        <v>128</v>
      </c>
    </row>
    <row r="25" spans="1:7" x14ac:dyDescent="0.25">
      <c r="A25" s="228" t="s">
        <v>129</v>
      </c>
      <c r="B25" s="127" t="s">
        <v>130</v>
      </c>
      <c r="C25" s="75"/>
      <c r="D25" s="128"/>
      <c r="E25" s="128"/>
      <c r="G25" s="129"/>
    </row>
    <row r="26" spans="1:7" x14ac:dyDescent="0.25">
      <c r="A26" s="229"/>
      <c r="B26" s="127" t="s">
        <v>131</v>
      </c>
      <c r="C26" s="75"/>
      <c r="D26" s="128"/>
      <c r="E26" s="128"/>
      <c r="G26" s="124" t="s">
        <v>132</v>
      </c>
    </row>
    <row r="27" spans="1:7" x14ac:dyDescent="0.25">
      <c r="A27" s="229"/>
      <c r="B27" s="127" t="s">
        <v>133</v>
      </c>
      <c r="C27" s="75"/>
      <c r="D27" s="128"/>
      <c r="E27" s="128"/>
      <c r="G27" s="124" t="s">
        <v>132</v>
      </c>
    </row>
    <row r="28" spans="1:7" x14ac:dyDescent="0.25">
      <c r="A28" s="229"/>
      <c r="B28" s="127" t="s">
        <v>134</v>
      </c>
      <c r="C28" s="75"/>
      <c r="D28" s="128"/>
      <c r="E28" s="128"/>
      <c r="G28" s="124" t="s">
        <v>132</v>
      </c>
    </row>
    <row r="29" spans="1:7" x14ac:dyDescent="0.25">
      <c r="A29" s="229"/>
      <c r="B29" s="127" t="s">
        <v>135</v>
      </c>
      <c r="C29" s="75"/>
      <c r="D29" s="128"/>
      <c r="E29" s="128"/>
      <c r="G29" s="124" t="s">
        <v>132</v>
      </c>
    </row>
    <row r="30" spans="1:7" x14ac:dyDescent="0.25">
      <c r="A30" s="230"/>
      <c r="B30" s="127" t="s">
        <v>136</v>
      </c>
      <c r="C30" s="75"/>
      <c r="D30" s="128"/>
      <c r="E30" s="128"/>
    </row>
    <row r="31" spans="1:7" ht="30" x14ac:dyDescent="0.25">
      <c r="A31" s="231" t="s">
        <v>137</v>
      </c>
      <c r="B31" s="127" t="s">
        <v>138</v>
      </c>
      <c r="C31" s="75"/>
      <c r="D31" s="128"/>
      <c r="E31" s="128"/>
      <c r="G31" s="129" t="s">
        <v>139</v>
      </c>
    </row>
    <row r="32" spans="1:7" ht="30" x14ac:dyDescent="0.25">
      <c r="A32" s="231"/>
      <c r="B32" s="127" t="s">
        <v>140</v>
      </c>
      <c r="C32" s="75"/>
      <c r="D32" s="128"/>
      <c r="E32" s="128"/>
    </row>
    <row r="33" spans="1:7" x14ac:dyDescent="0.25">
      <c r="A33" s="231"/>
      <c r="B33" s="127" t="s">
        <v>141</v>
      </c>
      <c r="C33" s="75"/>
      <c r="D33" s="128"/>
      <c r="E33" s="128"/>
    </row>
    <row r="34" spans="1:7" x14ac:dyDescent="0.25">
      <c r="A34" s="231" t="s">
        <v>142</v>
      </c>
      <c r="B34" s="127" t="s">
        <v>143</v>
      </c>
      <c r="C34" s="75"/>
      <c r="D34" s="128"/>
      <c r="E34" s="128"/>
    </row>
    <row r="35" spans="1:7" x14ac:dyDescent="0.25">
      <c r="A35" s="231"/>
      <c r="B35" s="127" t="s">
        <v>144</v>
      </c>
      <c r="C35" s="75"/>
      <c r="D35" s="128"/>
      <c r="E35" s="128"/>
    </row>
    <row r="36" spans="1:7" x14ac:dyDescent="0.25">
      <c r="A36" s="231"/>
      <c r="B36" s="127" t="s">
        <v>145</v>
      </c>
      <c r="C36" s="75"/>
      <c r="D36" s="128"/>
      <c r="E36" s="128"/>
    </row>
    <row r="37" spans="1:7" x14ac:dyDescent="0.25">
      <c r="A37" s="231"/>
      <c r="B37" s="127" t="s">
        <v>146</v>
      </c>
      <c r="C37" s="75"/>
      <c r="D37" s="128"/>
      <c r="E37" s="128"/>
    </row>
    <row r="38" spans="1:7" x14ac:dyDescent="0.25">
      <c r="A38" s="231" t="s">
        <v>147</v>
      </c>
      <c r="B38" s="127" t="s">
        <v>148</v>
      </c>
      <c r="C38" s="75"/>
      <c r="D38" s="128"/>
      <c r="E38" s="128"/>
    </row>
    <row r="39" spans="1:7" x14ac:dyDescent="0.25">
      <c r="A39" s="231"/>
      <c r="B39" s="127" t="s">
        <v>149</v>
      </c>
      <c r="C39" s="75"/>
      <c r="D39" s="128"/>
      <c r="E39" s="128"/>
    </row>
    <row r="40" spans="1:7" x14ac:dyDescent="0.25">
      <c r="A40" s="231"/>
      <c r="B40" s="127" t="s">
        <v>150</v>
      </c>
      <c r="C40" s="75"/>
      <c r="D40" s="128"/>
      <c r="E40" s="128"/>
      <c r="G40" s="129"/>
    </row>
  </sheetData>
  <mergeCells count="10">
    <mergeCell ref="A25:A30"/>
    <mergeCell ref="A31:A33"/>
    <mergeCell ref="A34:A37"/>
    <mergeCell ref="A38:A40"/>
    <mergeCell ref="A1:E1"/>
    <mergeCell ref="A2:B2"/>
    <mergeCell ref="A3:A5"/>
    <mergeCell ref="A6:A13"/>
    <mergeCell ref="A14:A20"/>
    <mergeCell ref="A22:A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8C8E-20E1-4B7A-839B-D2464F657AD0}">
  <sheetPr>
    <tabColor rgb="FFFFC000"/>
  </sheetPr>
  <dimension ref="A1:Q54"/>
  <sheetViews>
    <sheetView workbookViewId="0">
      <selection activeCell="L13" sqref="L13"/>
    </sheetView>
  </sheetViews>
  <sheetFormatPr baseColWidth="10" defaultColWidth="11.42578125" defaultRowHeight="15" x14ac:dyDescent="0.25"/>
  <cols>
    <col min="1" max="1" width="36.42578125" style="37" customWidth="1"/>
    <col min="2" max="2" width="9.140625"/>
    <col min="3" max="8" width="12.42578125" customWidth="1"/>
  </cols>
  <sheetData>
    <row r="1" spans="1:8" ht="15.75" x14ac:dyDescent="0.25">
      <c r="A1" s="234" t="s">
        <v>151</v>
      </c>
      <c r="B1" s="234"/>
      <c r="C1" s="234"/>
      <c r="D1" s="234"/>
      <c r="E1" s="234"/>
      <c r="F1" s="234"/>
      <c r="G1" s="234"/>
    </row>
    <row r="2" spans="1:8" ht="15.75" x14ac:dyDescent="0.25">
      <c r="A2" s="235" t="s">
        <v>152</v>
      </c>
      <c r="B2" s="235"/>
      <c r="C2" s="235"/>
      <c r="D2" s="235"/>
      <c r="E2" s="235"/>
      <c r="F2" s="235"/>
      <c r="G2" s="235"/>
    </row>
    <row r="3" spans="1:8" x14ac:dyDescent="0.25">
      <c r="A3" s="35"/>
      <c r="B3" s="24"/>
      <c r="C3" s="24"/>
      <c r="D3" s="24"/>
      <c r="E3" s="24"/>
      <c r="F3" s="24"/>
      <c r="G3" s="24"/>
    </row>
    <row r="4" spans="1:8" x14ac:dyDescent="0.25">
      <c r="A4" s="35"/>
      <c r="B4" s="24"/>
      <c r="C4" s="24"/>
      <c r="D4" s="24"/>
      <c r="E4" s="24"/>
      <c r="F4" s="24"/>
      <c r="G4" s="24"/>
    </row>
    <row r="5" spans="1:8" x14ac:dyDescent="0.25">
      <c r="A5" s="236" t="s">
        <v>153</v>
      </c>
      <c r="B5" s="236"/>
      <c r="C5" s="236"/>
      <c r="D5" s="236"/>
      <c r="E5" s="236"/>
      <c r="F5" s="236"/>
      <c r="G5" s="236"/>
      <c r="H5" s="236"/>
    </row>
    <row r="6" spans="1:8" x14ac:dyDescent="0.25">
      <c r="A6" s="23"/>
      <c r="B6" s="23"/>
      <c r="C6" s="23"/>
      <c r="D6" s="23"/>
      <c r="E6" s="23"/>
      <c r="F6" s="23"/>
      <c r="G6" s="23"/>
    </row>
    <row r="7" spans="1:8" x14ac:dyDescent="0.25">
      <c r="A7" s="38" t="s">
        <v>154</v>
      </c>
      <c r="B7" s="237">
        <v>2024</v>
      </c>
      <c r="C7" s="237"/>
      <c r="D7" s="237">
        <v>2026</v>
      </c>
      <c r="E7" s="237"/>
      <c r="F7" s="237">
        <v>2027</v>
      </c>
      <c r="G7" s="237"/>
    </row>
    <row r="8" spans="1:8" ht="31.5" customHeight="1" x14ac:dyDescent="0.25">
      <c r="A8" s="112" t="s">
        <v>155</v>
      </c>
      <c r="B8" s="238"/>
      <c r="C8" s="238"/>
      <c r="D8" s="239"/>
      <c r="E8" s="239"/>
      <c r="F8" s="238"/>
      <c r="G8" s="238"/>
    </row>
    <row r="9" spans="1:8" ht="31.5" customHeight="1" x14ac:dyDescent="0.25">
      <c r="A9" s="112" t="s">
        <v>156</v>
      </c>
      <c r="B9" s="238"/>
      <c r="C9" s="238"/>
      <c r="D9" s="239"/>
      <c r="E9" s="239"/>
      <c r="F9" s="238"/>
      <c r="G9" s="238"/>
    </row>
    <row r="10" spans="1:8" ht="31.5" customHeight="1" x14ac:dyDescent="0.25">
      <c r="A10" s="113" t="s">
        <v>157</v>
      </c>
      <c r="B10" s="238"/>
      <c r="C10" s="238"/>
      <c r="D10" s="239"/>
      <c r="E10" s="239"/>
      <c r="F10" s="238"/>
      <c r="G10" s="238"/>
    </row>
    <row r="11" spans="1:8" ht="31.5" customHeight="1" x14ac:dyDescent="0.25">
      <c r="A11" s="113" t="s">
        <v>158</v>
      </c>
      <c r="B11" s="238"/>
      <c r="C11" s="238"/>
      <c r="D11" s="239"/>
      <c r="E11" s="239"/>
      <c r="F11" s="238"/>
      <c r="G11" s="238"/>
    </row>
    <row r="12" spans="1:8" x14ac:dyDescent="0.25">
      <c r="A12" s="114" t="s">
        <v>159</v>
      </c>
      <c r="B12" s="238"/>
      <c r="C12" s="238"/>
      <c r="D12" s="239"/>
      <c r="E12" s="239"/>
      <c r="F12" s="238"/>
      <c r="G12" s="238"/>
    </row>
    <row r="13" spans="1:8" x14ac:dyDescent="0.25">
      <c r="A13" s="114" t="s">
        <v>160</v>
      </c>
      <c r="B13" s="238"/>
      <c r="C13" s="238"/>
      <c r="D13" s="239"/>
      <c r="E13" s="239"/>
      <c r="F13" s="238"/>
      <c r="G13" s="238"/>
    </row>
    <row r="14" spans="1:8" x14ac:dyDescent="0.25">
      <c r="A14" s="35"/>
      <c r="B14" s="23"/>
      <c r="C14" s="23"/>
      <c r="D14" s="23"/>
      <c r="E14" s="23"/>
      <c r="F14" s="23"/>
      <c r="G14" s="23"/>
    </row>
    <row r="15" spans="1:8" x14ac:dyDescent="0.25">
      <c r="A15" s="246" t="s">
        <v>161</v>
      </c>
      <c r="B15" s="246"/>
      <c r="C15" s="246"/>
      <c r="D15" s="246"/>
      <c r="E15" s="246"/>
      <c r="F15" s="246"/>
      <c r="G15" s="246"/>
      <c r="H15" s="246"/>
    </row>
    <row r="16" spans="1:8" x14ac:dyDescent="0.25">
      <c r="A16" s="240"/>
      <c r="B16" s="241"/>
      <c r="C16" s="244">
        <v>2024</v>
      </c>
      <c r="D16" s="245"/>
      <c r="E16" s="244">
        <v>2026</v>
      </c>
      <c r="F16" s="245"/>
      <c r="G16" s="244">
        <v>2027</v>
      </c>
      <c r="H16" s="245"/>
    </row>
    <row r="17" spans="1:8" ht="36.75" customHeight="1" x14ac:dyDescent="0.25">
      <c r="A17" s="242"/>
      <c r="B17" s="243"/>
      <c r="C17" s="115" t="s">
        <v>162</v>
      </c>
      <c r="D17" s="115" t="s">
        <v>163</v>
      </c>
      <c r="E17" s="60" t="s">
        <v>162</v>
      </c>
      <c r="F17" s="60" t="s">
        <v>163</v>
      </c>
      <c r="G17" s="115" t="s">
        <v>162</v>
      </c>
      <c r="H17" s="115" t="s">
        <v>163</v>
      </c>
    </row>
    <row r="18" spans="1:8" ht="15.75" customHeight="1" x14ac:dyDescent="0.25">
      <c r="A18" s="247" t="s">
        <v>164</v>
      </c>
      <c r="B18" s="247"/>
      <c r="C18" s="39"/>
      <c r="D18" s="116"/>
      <c r="E18" s="59"/>
      <c r="F18" s="116"/>
      <c r="G18" s="39"/>
      <c r="H18" s="116"/>
    </row>
    <row r="19" spans="1:8" x14ac:dyDescent="0.25">
      <c r="A19" s="247" t="s">
        <v>165</v>
      </c>
      <c r="B19" s="247"/>
      <c r="C19" s="39"/>
      <c r="D19" s="39" t="e">
        <f>C19/$C$18</f>
        <v>#DIV/0!</v>
      </c>
      <c r="E19" s="59"/>
      <c r="F19" s="59" t="e">
        <f>E19/$E$18</f>
        <v>#DIV/0!</v>
      </c>
      <c r="G19" s="39"/>
      <c r="H19" s="39" t="e">
        <f>G19/$G$18</f>
        <v>#DIV/0!</v>
      </c>
    </row>
    <row r="20" spans="1:8" x14ac:dyDescent="0.25">
      <c r="A20" s="247" t="s">
        <v>166</v>
      </c>
      <c r="B20" s="247"/>
      <c r="C20" s="39"/>
      <c r="D20" s="39" t="e">
        <f t="shared" ref="D20:D22" si="0">C20/$C$18</f>
        <v>#DIV/0!</v>
      </c>
      <c r="E20" s="59"/>
      <c r="F20" s="59" t="e">
        <f t="shared" ref="F20:F22" si="1">E20/$E$18</f>
        <v>#DIV/0!</v>
      </c>
      <c r="G20" s="39"/>
      <c r="H20" s="39" t="e">
        <f t="shared" ref="H20:H22" si="2">G20/$G$18</f>
        <v>#DIV/0!</v>
      </c>
    </row>
    <row r="21" spans="1:8" x14ac:dyDescent="0.25">
      <c r="A21" s="247" t="s">
        <v>167</v>
      </c>
      <c r="B21" s="247"/>
      <c r="C21" s="39"/>
      <c r="D21" s="39" t="e">
        <f t="shared" si="0"/>
        <v>#DIV/0!</v>
      </c>
      <c r="E21" s="59"/>
      <c r="F21" s="59" t="e">
        <f t="shared" si="1"/>
        <v>#DIV/0!</v>
      </c>
      <c r="G21" s="39"/>
      <c r="H21" s="39" t="e">
        <f t="shared" si="2"/>
        <v>#DIV/0!</v>
      </c>
    </row>
    <row r="22" spans="1:8" x14ac:dyDescent="0.25">
      <c r="A22" s="247" t="s">
        <v>168</v>
      </c>
      <c r="B22" s="247"/>
      <c r="C22" s="39"/>
      <c r="D22" s="39" t="e">
        <f t="shared" si="0"/>
        <v>#DIV/0!</v>
      </c>
      <c r="E22" s="59"/>
      <c r="F22" s="59" t="e">
        <f t="shared" si="1"/>
        <v>#DIV/0!</v>
      </c>
      <c r="G22" s="39"/>
      <c r="H22" s="39" t="e">
        <f t="shared" si="2"/>
        <v>#DIV/0!</v>
      </c>
    </row>
    <row r="23" spans="1:8" x14ac:dyDescent="0.25">
      <c r="A23" s="35"/>
      <c r="B23" s="23"/>
      <c r="C23" s="23"/>
      <c r="D23" s="23"/>
      <c r="E23" s="23"/>
      <c r="F23" s="23"/>
      <c r="G23" s="23"/>
    </row>
    <row r="24" spans="1:8" x14ac:dyDescent="0.25">
      <c r="A24" s="246" t="s">
        <v>169</v>
      </c>
      <c r="B24" s="246"/>
      <c r="C24" s="246"/>
      <c r="D24" s="246"/>
      <c r="E24" s="246"/>
      <c r="F24" s="246"/>
      <c r="G24" s="246"/>
      <c r="H24" s="246"/>
    </row>
    <row r="25" spans="1:8" x14ac:dyDescent="0.25">
      <c r="A25" s="240"/>
      <c r="B25" s="241"/>
      <c r="C25" s="244">
        <v>2024</v>
      </c>
      <c r="D25" s="245"/>
      <c r="E25" s="244">
        <v>2026</v>
      </c>
      <c r="F25" s="245"/>
      <c r="G25" s="244">
        <v>2027</v>
      </c>
      <c r="H25" s="245"/>
    </row>
    <row r="26" spans="1:8" ht="38.25" x14ac:dyDescent="0.25">
      <c r="A26" s="242"/>
      <c r="B26" s="243"/>
      <c r="C26" s="115" t="s">
        <v>162</v>
      </c>
      <c r="D26" s="115" t="s">
        <v>170</v>
      </c>
      <c r="E26" s="60" t="s">
        <v>162</v>
      </c>
      <c r="F26" s="60" t="s">
        <v>170</v>
      </c>
      <c r="G26" s="115" t="s">
        <v>162</v>
      </c>
      <c r="H26" s="115" t="s">
        <v>170</v>
      </c>
    </row>
    <row r="27" spans="1:8" x14ac:dyDescent="0.25">
      <c r="A27" s="247" t="s">
        <v>171</v>
      </c>
      <c r="B27" s="247"/>
      <c r="C27" s="39"/>
      <c r="D27" s="116"/>
      <c r="E27" s="59"/>
      <c r="F27" s="116"/>
      <c r="G27" s="39"/>
      <c r="H27" s="116"/>
    </row>
    <row r="28" spans="1:8" x14ac:dyDescent="0.25">
      <c r="A28" s="247" t="s">
        <v>172</v>
      </c>
      <c r="B28" s="247"/>
      <c r="C28" s="39"/>
      <c r="D28" s="39" t="e">
        <f>C28/$C$27</f>
        <v>#DIV/0!</v>
      </c>
      <c r="E28" s="59"/>
      <c r="F28" s="59" t="e">
        <f>E28/$E$27</f>
        <v>#DIV/0!</v>
      </c>
      <c r="G28" s="39"/>
      <c r="H28" s="39" t="e">
        <f>G28/$G$27</f>
        <v>#DIV/0!</v>
      </c>
    </row>
    <row r="29" spans="1:8" x14ac:dyDescent="0.25">
      <c r="A29" s="247" t="s">
        <v>173</v>
      </c>
      <c r="B29" s="247"/>
      <c r="C29" s="39"/>
      <c r="D29" s="39" t="e">
        <f>C29/$C$27</f>
        <v>#DIV/0!</v>
      </c>
      <c r="E29" s="59"/>
      <c r="F29" s="59" t="e">
        <f>E29/$E$27</f>
        <v>#DIV/0!</v>
      </c>
      <c r="G29" s="39"/>
      <c r="H29" s="39" t="e">
        <f>G29/$G$27</f>
        <v>#DIV/0!</v>
      </c>
    </row>
    <row r="30" spans="1:8" x14ac:dyDescent="0.25">
      <c r="A30" s="247" t="s">
        <v>174</v>
      </c>
      <c r="B30" s="247"/>
      <c r="C30" s="39"/>
      <c r="D30" s="39" t="e">
        <f>C30/$C$27</f>
        <v>#DIV/0!</v>
      </c>
      <c r="E30" s="59"/>
      <c r="F30" s="59" t="e">
        <f t="shared" ref="F30:F32" si="3">E30/$E$27</f>
        <v>#DIV/0!</v>
      </c>
      <c r="G30" s="39"/>
      <c r="H30" s="39" t="e">
        <f t="shared" ref="H30:H32" si="4">G30/$G$27</f>
        <v>#DIV/0!</v>
      </c>
    </row>
    <row r="31" spans="1:8" x14ac:dyDescent="0.25">
      <c r="A31" s="247" t="s">
        <v>175</v>
      </c>
      <c r="B31" s="247"/>
      <c r="C31" s="39"/>
      <c r="D31" s="39" t="e">
        <f>C31/$C$27</f>
        <v>#DIV/0!</v>
      </c>
      <c r="E31" s="59"/>
      <c r="F31" s="59" t="e">
        <f t="shared" si="3"/>
        <v>#DIV/0!</v>
      </c>
      <c r="G31" s="39"/>
      <c r="H31" s="39" t="e">
        <f t="shared" si="4"/>
        <v>#DIV/0!</v>
      </c>
    </row>
    <row r="32" spans="1:8" x14ac:dyDescent="0.25">
      <c r="A32" s="247" t="s">
        <v>176</v>
      </c>
      <c r="B32" s="247"/>
      <c r="C32" s="39"/>
      <c r="D32" s="39" t="e">
        <f>C32/$C$27</f>
        <v>#DIV/0!</v>
      </c>
      <c r="E32" s="59"/>
      <c r="F32" s="59" t="e">
        <f t="shared" si="3"/>
        <v>#DIV/0!</v>
      </c>
      <c r="G32" s="39"/>
      <c r="H32" s="39" t="e">
        <f t="shared" si="4"/>
        <v>#DIV/0!</v>
      </c>
    </row>
    <row r="33" spans="1:17" x14ac:dyDescent="0.25">
      <c r="A33" s="35"/>
      <c r="B33" s="23"/>
      <c r="C33" s="23"/>
      <c r="D33" s="23"/>
      <c r="E33" s="23"/>
      <c r="F33" s="23"/>
      <c r="G33" s="23"/>
      <c r="I33" s="35"/>
      <c r="J33" s="23"/>
      <c r="K33" s="23"/>
      <c r="L33" s="23"/>
      <c r="M33" s="23"/>
      <c r="N33" s="23"/>
      <c r="O33" s="23"/>
      <c r="Q33" s="35"/>
    </row>
    <row r="34" spans="1:17" x14ac:dyDescent="0.25">
      <c r="A34" s="236" t="s">
        <v>177</v>
      </c>
      <c r="B34" s="236"/>
      <c r="C34" s="236"/>
      <c r="D34" s="236"/>
      <c r="E34" s="236"/>
      <c r="F34" s="236"/>
      <c r="G34" s="236"/>
    </row>
    <row r="35" spans="1:17" x14ac:dyDescent="0.25">
      <c r="A35" s="36"/>
      <c r="B35" s="26"/>
      <c r="C35" s="25"/>
      <c r="D35" s="25"/>
      <c r="E35" s="25"/>
      <c r="F35" s="25"/>
      <c r="G35" s="25"/>
    </row>
    <row r="36" spans="1:17" x14ac:dyDescent="0.25">
      <c r="A36" s="248" t="s">
        <v>178</v>
      </c>
      <c r="B36" s="249"/>
      <c r="C36" s="27"/>
      <c r="D36" s="28"/>
      <c r="E36" s="28"/>
      <c r="F36" s="28"/>
      <c r="G36" s="29"/>
    </row>
    <row r="37" spans="1:17" x14ac:dyDescent="0.25">
      <c r="A37" s="250" t="s">
        <v>179</v>
      </c>
      <c r="B37" s="251"/>
      <c r="C37" s="30"/>
      <c r="D37" s="25"/>
      <c r="E37" s="25"/>
      <c r="F37" s="25"/>
      <c r="G37" s="31"/>
    </row>
    <row r="38" spans="1:17" x14ac:dyDescent="0.25">
      <c r="A38" s="252" t="s">
        <v>180</v>
      </c>
      <c r="B38" s="253"/>
      <c r="C38" s="32"/>
      <c r="D38" s="33"/>
      <c r="E38" s="33"/>
      <c r="F38" s="33"/>
      <c r="G38" s="34"/>
    </row>
    <row r="39" spans="1:17" x14ac:dyDescent="0.25">
      <c r="A39" s="36"/>
      <c r="B39" s="25"/>
      <c r="C39" s="25"/>
      <c r="D39" s="25"/>
      <c r="E39" s="25"/>
      <c r="F39" s="25"/>
      <c r="G39" s="25"/>
    </row>
    <row r="41" spans="1:17" x14ac:dyDescent="0.25">
      <c r="A41" s="41" t="s">
        <v>181</v>
      </c>
      <c r="B41" s="42"/>
      <c r="C41" s="42"/>
      <c r="D41" s="42"/>
      <c r="E41" s="42"/>
      <c r="F41" s="42"/>
      <c r="G41" s="43"/>
    </row>
    <row r="42" spans="1:17" x14ac:dyDescent="0.25">
      <c r="A42" s="44"/>
      <c r="B42" s="25"/>
      <c r="C42" s="25"/>
      <c r="D42" s="25"/>
      <c r="E42" s="25"/>
      <c r="F42" s="25"/>
      <c r="G42" s="45"/>
    </row>
    <row r="43" spans="1:17" x14ac:dyDescent="0.25">
      <c r="A43" s="44"/>
      <c r="B43" s="25"/>
      <c r="C43" s="25"/>
      <c r="D43" s="25"/>
      <c r="E43" s="25"/>
      <c r="F43" s="25"/>
      <c r="G43" s="45"/>
    </row>
    <row r="44" spans="1:17" x14ac:dyDescent="0.25">
      <c r="A44" s="44"/>
      <c r="B44" s="25"/>
      <c r="C44" s="25"/>
      <c r="D44" s="25"/>
      <c r="E44" s="25"/>
      <c r="F44" s="25"/>
      <c r="G44" s="45"/>
    </row>
    <row r="45" spans="1:17" x14ac:dyDescent="0.25">
      <c r="A45" s="44"/>
      <c r="B45" s="25"/>
      <c r="C45" s="25"/>
      <c r="D45" s="25"/>
      <c r="E45" s="25"/>
      <c r="F45" s="25"/>
      <c r="G45" s="45"/>
    </row>
    <row r="46" spans="1:17" x14ac:dyDescent="0.25">
      <c r="A46" s="44"/>
      <c r="B46" s="25"/>
      <c r="C46" s="25"/>
      <c r="D46" s="25"/>
      <c r="E46" s="25"/>
      <c r="F46" s="25"/>
      <c r="G46" s="45"/>
    </row>
    <row r="47" spans="1:17" x14ac:dyDescent="0.25">
      <c r="A47" s="44"/>
      <c r="B47" s="25"/>
      <c r="C47" s="25"/>
      <c r="D47" s="25"/>
      <c r="E47" s="25"/>
      <c r="F47" s="25"/>
      <c r="G47" s="45"/>
    </row>
    <row r="48" spans="1:17" x14ac:dyDescent="0.25">
      <c r="A48" s="40"/>
      <c r="B48" s="46"/>
      <c r="C48" s="46"/>
      <c r="D48" s="46"/>
      <c r="E48" s="46"/>
      <c r="F48" s="46"/>
      <c r="G48" s="47"/>
    </row>
    <row r="52" spans="1:3" x14ac:dyDescent="0.25">
      <c r="A52" s="104" t="s">
        <v>182</v>
      </c>
      <c r="B52" s="105" t="s">
        <v>183</v>
      </c>
      <c r="C52" s="106"/>
    </row>
    <row r="53" spans="1:3" x14ac:dyDescent="0.25">
      <c r="A53" s="107" t="s">
        <v>184</v>
      </c>
      <c r="B53" t="s">
        <v>185</v>
      </c>
      <c r="C53" s="108"/>
    </row>
    <row r="54" spans="1:3" x14ac:dyDescent="0.25">
      <c r="A54" s="109" t="s">
        <v>186</v>
      </c>
      <c r="B54" s="110" t="s">
        <v>187</v>
      </c>
      <c r="C54" s="111"/>
    </row>
  </sheetData>
  <mergeCells count="49">
    <mergeCell ref="A34:G34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5:B26"/>
    <mergeCell ref="C25:D25"/>
    <mergeCell ref="E25:F25"/>
    <mergeCell ref="G25:H25"/>
    <mergeCell ref="A15:H15"/>
    <mergeCell ref="A16:B17"/>
    <mergeCell ref="C16:D16"/>
    <mergeCell ref="E16:F16"/>
    <mergeCell ref="G16:H16"/>
    <mergeCell ref="A18:B18"/>
    <mergeCell ref="A19:B19"/>
    <mergeCell ref="A20:B20"/>
    <mergeCell ref="A21:B21"/>
    <mergeCell ref="A22:B22"/>
    <mergeCell ref="A24:H24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A1:G1"/>
    <mergeCell ref="A2:G2"/>
    <mergeCell ref="A5:H5"/>
    <mergeCell ref="B7:C7"/>
    <mergeCell ref="D7:E7"/>
    <mergeCell ref="F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B8A1-DE2F-4C87-86AE-98D4AFEC896D}">
  <dimension ref="A1:S23"/>
  <sheetViews>
    <sheetView tabSelected="1" topLeftCell="C2" workbookViewId="0">
      <selection activeCell="K5" sqref="K5"/>
    </sheetView>
  </sheetViews>
  <sheetFormatPr baseColWidth="10" defaultColWidth="9.140625" defaultRowHeight="15" x14ac:dyDescent="0.25"/>
  <cols>
    <col min="1" max="1" width="23.140625" customWidth="1"/>
    <col min="2" max="2" width="11.85546875" bestFit="1" customWidth="1"/>
    <col min="4" max="4" width="12.42578125" bestFit="1" customWidth="1"/>
    <col min="5" max="5" width="14.42578125" bestFit="1" customWidth="1"/>
    <col min="9" max="9" width="21.5703125" customWidth="1"/>
    <col min="10" max="10" width="10.85546875" bestFit="1" customWidth="1"/>
    <col min="11" max="11" width="33.140625" customWidth="1"/>
    <col min="12" max="19" width="17.28515625" customWidth="1"/>
    <col min="20" max="20" width="16.7109375" customWidth="1"/>
  </cols>
  <sheetData>
    <row r="1" spans="1:19" ht="30" customHeight="1" x14ac:dyDescent="0.25">
      <c r="A1" s="142" t="s">
        <v>188</v>
      </c>
      <c r="B1" s="143"/>
      <c r="C1" s="143"/>
      <c r="D1" s="143"/>
      <c r="E1" s="143"/>
      <c r="I1" s="152" t="s">
        <v>189</v>
      </c>
      <c r="J1" s="152"/>
      <c r="K1" s="152"/>
      <c r="L1" s="152"/>
      <c r="M1" s="152"/>
      <c r="N1" s="61"/>
      <c r="O1" s="153"/>
      <c r="P1" s="153"/>
      <c r="Q1" s="153"/>
      <c r="R1" s="153"/>
      <c r="S1" s="61"/>
    </row>
    <row r="2" spans="1:19" ht="18.75" x14ac:dyDescent="0.25">
      <c r="A2" s="144"/>
      <c r="B2" s="140" t="s">
        <v>53</v>
      </c>
      <c r="C2" s="140"/>
      <c r="D2" s="140"/>
      <c r="E2" s="141"/>
      <c r="I2" s="154" t="s">
        <v>190</v>
      </c>
      <c r="J2" s="154"/>
      <c r="K2" s="154"/>
      <c r="L2" s="154"/>
      <c r="M2" s="154"/>
      <c r="N2" s="62"/>
      <c r="O2" s="134" t="s">
        <v>191</v>
      </c>
      <c r="P2" s="134"/>
      <c r="Q2" s="134"/>
      <c r="R2" s="134"/>
      <c r="S2" s="62"/>
    </row>
    <row r="3" spans="1:19" x14ac:dyDescent="0.25">
      <c r="A3" s="145"/>
      <c r="B3" s="50" t="s">
        <v>192</v>
      </c>
      <c r="C3" s="50" t="s">
        <v>193</v>
      </c>
      <c r="D3" s="50" t="s">
        <v>194</v>
      </c>
      <c r="E3" s="50" t="s">
        <v>195</v>
      </c>
      <c r="I3" s="63" t="s">
        <v>192</v>
      </c>
      <c r="J3" s="63" t="s">
        <v>196</v>
      </c>
      <c r="K3" s="64">
        <v>1142.6400000000001</v>
      </c>
      <c r="L3" s="63" t="s">
        <v>197</v>
      </c>
      <c r="M3" s="64">
        <f>K3*1.2</f>
        <v>1371.1680000000001</v>
      </c>
      <c r="N3" s="65"/>
      <c r="O3" s="155" t="s">
        <v>190</v>
      </c>
      <c r="P3" s="155"/>
      <c r="Q3" s="155"/>
      <c r="R3" s="155"/>
    </row>
    <row r="4" spans="1:19" ht="42" customHeight="1" x14ac:dyDescent="0.25">
      <c r="A4" s="48" t="s">
        <v>198</v>
      </c>
      <c r="B4" s="20">
        <v>2</v>
      </c>
      <c r="C4" s="20"/>
      <c r="D4" s="20"/>
      <c r="E4" s="20">
        <f>B4-C4</f>
        <v>2</v>
      </c>
      <c r="I4" s="66" t="s">
        <v>199</v>
      </c>
      <c r="J4" s="66" t="s">
        <v>55</v>
      </c>
      <c r="K4" s="66" t="s">
        <v>200</v>
      </c>
      <c r="L4" s="66" t="s">
        <v>201</v>
      </c>
      <c r="M4" s="66" t="s">
        <v>202</v>
      </c>
      <c r="N4" s="65"/>
      <c r="O4" s="67" t="s">
        <v>196</v>
      </c>
      <c r="P4" s="68">
        <f>K3-(SUM(K5:K10))</f>
        <v>1100.2733333333335</v>
      </c>
      <c r="Q4" s="67" t="s">
        <v>197</v>
      </c>
      <c r="R4" s="68">
        <f>M3-(SUM(L5:L10))</f>
        <v>1320.3280000000002</v>
      </c>
      <c r="S4" s="65"/>
    </row>
    <row r="5" spans="1:19" x14ac:dyDescent="0.25">
      <c r="A5" s="49" t="s">
        <v>203</v>
      </c>
      <c r="B5" s="20">
        <v>1</v>
      </c>
      <c r="C5" s="20"/>
      <c r="D5" s="20"/>
      <c r="E5" s="20">
        <f t="shared" ref="E5:E7" si="0">B5-C5</f>
        <v>1</v>
      </c>
      <c r="I5" s="69">
        <v>11065</v>
      </c>
      <c r="J5" s="70">
        <v>45990</v>
      </c>
      <c r="K5" s="254">
        <f>L5/1.2</f>
        <v>42.366666666666674</v>
      </c>
      <c r="L5" s="69">
        <v>50.84</v>
      </c>
      <c r="M5" s="71">
        <v>46037</v>
      </c>
      <c r="N5" s="65"/>
      <c r="O5" s="72"/>
      <c r="P5" s="72"/>
      <c r="Q5" s="72"/>
      <c r="R5" s="72"/>
      <c r="S5" s="65"/>
    </row>
    <row r="6" spans="1:19" x14ac:dyDescent="0.25">
      <c r="A6" s="51" t="s">
        <v>204</v>
      </c>
      <c r="B6" s="20">
        <v>1</v>
      </c>
      <c r="C6" s="20"/>
      <c r="D6" s="20"/>
      <c r="E6" s="20">
        <f t="shared" si="0"/>
        <v>1</v>
      </c>
      <c r="I6" s="69"/>
      <c r="J6" s="69"/>
      <c r="K6" s="69"/>
      <c r="L6" s="69"/>
      <c r="M6" s="69"/>
      <c r="N6" s="65"/>
      <c r="O6" s="65"/>
      <c r="P6" s="65"/>
      <c r="Q6" s="65"/>
      <c r="R6" s="65"/>
      <c r="S6" s="65"/>
    </row>
    <row r="7" spans="1:19" x14ac:dyDescent="0.25">
      <c r="A7" s="51" t="s">
        <v>205</v>
      </c>
      <c r="B7" s="20">
        <v>1</v>
      </c>
      <c r="C7" s="20"/>
      <c r="D7" s="20"/>
      <c r="E7" s="20">
        <f t="shared" si="0"/>
        <v>1</v>
      </c>
      <c r="I7" s="73"/>
      <c r="J7" s="74"/>
      <c r="K7" s="74"/>
      <c r="L7" s="74"/>
      <c r="M7" s="74"/>
    </row>
    <row r="8" spans="1:19" x14ac:dyDescent="0.25">
      <c r="A8" s="146"/>
      <c r="B8" s="148" t="s">
        <v>206</v>
      </c>
      <c r="C8" s="148"/>
      <c r="D8" s="148"/>
      <c r="E8" s="149"/>
      <c r="I8" s="75"/>
      <c r="J8" s="75"/>
      <c r="K8" s="75"/>
      <c r="L8" s="75"/>
      <c r="M8" s="75"/>
    </row>
    <row r="9" spans="1:19" x14ac:dyDescent="0.25">
      <c r="A9" s="147"/>
      <c r="B9" s="50" t="s">
        <v>192</v>
      </c>
      <c r="C9" s="50" t="s">
        <v>193</v>
      </c>
      <c r="D9" s="50" t="s">
        <v>194</v>
      </c>
      <c r="E9" s="50" t="s">
        <v>195</v>
      </c>
      <c r="I9" s="75"/>
      <c r="J9" s="75"/>
      <c r="K9" s="75"/>
      <c r="L9" s="75"/>
      <c r="M9" s="75"/>
    </row>
    <row r="10" spans="1:19" ht="59.25" customHeight="1" x14ac:dyDescent="0.25">
      <c r="A10" s="48" t="s">
        <v>207</v>
      </c>
      <c r="B10" s="20">
        <f>1.25*6</f>
        <v>7.5</v>
      </c>
      <c r="C10" s="20"/>
      <c r="D10" s="20"/>
      <c r="E10" s="20">
        <f>B10-C10</f>
        <v>7.5</v>
      </c>
      <c r="I10" s="75"/>
      <c r="J10" s="75"/>
      <c r="K10" s="75"/>
      <c r="L10" s="75"/>
      <c r="M10" s="75"/>
    </row>
    <row r="11" spans="1:19" ht="28.5" customHeight="1" x14ac:dyDescent="0.25">
      <c r="A11" s="52" t="s">
        <v>208</v>
      </c>
      <c r="B11" s="20">
        <f>0.5*6</f>
        <v>3</v>
      </c>
      <c r="C11" s="20"/>
      <c r="D11" s="20"/>
      <c r="E11" s="20">
        <f t="shared" ref="E11:E12" si="1">B11-C11</f>
        <v>3</v>
      </c>
    </row>
    <row r="12" spans="1:19" ht="28.5" customHeight="1" x14ac:dyDescent="0.25">
      <c r="A12" s="52" t="s">
        <v>209</v>
      </c>
      <c r="B12" s="20">
        <v>1</v>
      </c>
      <c r="C12" s="20"/>
      <c r="D12" s="20"/>
      <c r="E12" s="20">
        <f t="shared" si="1"/>
        <v>1</v>
      </c>
      <c r="I12" s="150" t="s">
        <v>210</v>
      </c>
      <c r="J12" s="151"/>
      <c r="K12" s="151"/>
      <c r="L12" s="151"/>
      <c r="M12" s="151"/>
      <c r="N12" s="151"/>
      <c r="O12" s="76"/>
    </row>
    <row r="13" spans="1:19" x14ac:dyDescent="0.25">
      <c r="A13" s="136"/>
      <c r="B13" s="138" t="s">
        <v>211</v>
      </c>
      <c r="C13" s="138"/>
      <c r="D13" s="138"/>
      <c r="E13" s="139"/>
      <c r="I13" s="77" t="s">
        <v>192</v>
      </c>
      <c r="J13" s="77" t="s">
        <v>196</v>
      </c>
      <c r="K13" s="78">
        <v>1040</v>
      </c>
      <c r="L13" s="77" t="s">
        <v>197</v>
      </c>
      <c r="M13" s="132">
        <f>K13*1.2</f>
        <v>1248</v>
      </c>
      <c r="N13" s="133"/>
      <c r="O13" s="79"/>
    </row>
    <row r="14" spans="1:19" x14ac:dyDescent="0.25">
      <c r="A14" s="137"/>
      <c r="B14" s="50" t="s">
        <v>192</v>
      </c>
      <c r="C14" s="53" t="s">
        <v>193</v>
      </c>
      <c r="D14" s="50" t="s">
        <v>194</v>
      </c>
      <c r="E14" s="50" t="s">
        <v>195</v>
      </c>
      <c r="I14" s="86" t="s">
        <v>212</v>
      </c>
      <c r="J14" s="86" t="s">
        <v>55</v>
      </c>
      <c r="K14" s="86" t="s">
        <v>213</v>
      </c>
      <c r="L14" s="86" t="s">
        <v>214</v>
      </c>
      <c r="M14" s="86" t="s">
        <v>200</v>
      </c>
      <c r="N14" s="80" t="s">
        <v>201</v>
      </c>
      <c r="O14" s="79"/>
    </row>
    <row r="15" spans="1:19" ht="55.5" customHeight="1" x14ac:dyDescent="0.25">
      <c r="A15" s="48" t="s">
        <v>215</v>
      </c>
      <c r="B15" s="20">
        <v>3.5</v>
      </c>
      <c r="C15" s="20"/>
      <c r="D15" s="20"/>
      <c r="E15" s="20">
        <f>B15-C15</f>
        <v>3.5</v>
      </c>
      <c r="I15" s="57" t="s">
        <v>216</v>
      </c>
      <c r="J15" s="70">
        <v>46028</v>
      </c>
      <c r="K15" s="58" t="s">
        <v>217</v>
      </c>
      <c r="L15" s="20"/>
      <c r="M15" s="20">
        <v>217.7</v>
      </c>
      <c r="N15" s="82">
        <f t="shared" ref="N15:N20" si="2">M15*1.2</f>
        <v>261.23999999999995</v>
      </c>
      <c r="O15" s="79"/>
      <c r="P15" s="134" t="s">
        <v>191</v>
      </c>
      <c r="Q15" s="134"/>
      <c r="R15" s="134"/>
      <c r="S15" s="134"/>
    </row>
    <row r="16" spans="1:19" ht="28.5" customHeight="1" x14ac:dyDescent="0.25">
      <c r="A16" s="52" t="s">
        <v>218</v>
      </c>
      <c r="B16" s="20">
        <v>0.5</v>
      </c>
      <c r="C16" s="20"/>
      <c r="D16" s="20"/>
      <c r="E16" s="20">
        <f t="shared" ref="E16:E17" si="3">B16-C16</f>
        <v>0.5</v>
      </c>
      <c r="I16" s="84"/>
      <c r="J16" s="85"/>
      <c r="K16" s="81"/>
      <c r="L16" s="53"/>
      <c r="M16" s="53"/>
      <c r="N16" s="82">
        <f t="shared" si="2"/>
        <v>0</v>
      </c>
      <c r="O16" s="79"/>
      <c r="P16" s="135" t="s">
        <v>219</v>
      </c>
      <c r="Q16" s="135"/>
      <c r="R16" s="135"/>
      <c r="S16" s="135"/>
    </row>
    <row r="17" spans="1:19" ht="28.5" customHeight="1" x14ac:dyDescent="0.25">
      <c r="A17" s="52" t="s">
        <v>220</v>
      </c>
      <c r="B17" s="20">
        <f>E7+E12</f>
        <v>2</v>
      </c>
      <c r="C17" s="20"/>
      <c r="D17" s="20"/>
      <c r="E17" s="20">
        <f t="shared" si="3"/>
        <v>2</v>
      </c>
      <c r="I17" s="57"/>
      <c r="J17" s="70"/>
      <c r="K17" s="58"/>
      <c r="L17" s="20"/>
      <c r="M17" s="20"/>
      <c r="N17" s="82">
        <f t="shared" si="2"/>
        <v>0</v>
      </c>
      <c r="O17" s="83"/>
      <c r="P17" s="63" t="s">
        <v>196</v>
      </c>
      <c r="Q17" s="64">
        <f>K13-(SUM(M15:M20))</f>
        <v>822.3</v>
      </c>
      <c r="R17" s="63" t="s">
        <v>197</v>
      </c>
      <c r="S17" s="64">
        <f>M13-(SUM(N15:N20))</f>
        <v>986.76</v>
      </c>
    </row>
    <row r="18" spans="1:19" x14ac:dyDescent="0.25">
      <c r="I18" s="57"/>
      <c r="J18" s="70"/>
      <c r="K18" s="58"/>
      <c r="L18" s="20"/>
      <c r="M18" s="20"/>
      <c r="N18" s="82">
        <f t="shared" si="2"/>
        <v>0</v>
      </c>
      <c r="O18" s="83"/>
    </row>
    <row r="19" spans="1:19" x14ac:dyDescent="0.25">
      <c r="I19" s="57"/>
      <c r="J19" s="69"/>
      <c r="K19" s="58"/>
      <c r="L19" s="20"/>
      <c r="M19" s="20"/>
      <c r="N19" s="82">
        <f t="shared" si="2"/>
        <v>0</v>
      </c>
      <c r="O19" s="79"/>
      <c r="P19" s="65"/>
      <c r="Q19" s="65"/>
      <c r="R19" s="65"/>
      <c r="S19" s="65"/>
    </row>
    <row r="20" spans="1:19" x14ac:dyDescent="0.25">
      <c r="I20" s="57"/>
      <c r="J20" s="69"/>
      <c r="K20" s="58"/>
      <c r="L20" s="20"/>
      <c r="M20" s="20"/>
      <c r="N20" s="82">
        <f t="shared" si="2"/>
        <v>0</v>
      </c>
      <c r="O20" s="83"/>
    </row>
    <row r="21" spans="1:19" x14ac:dyDescent="0.25">
      <c r="I21" s="65"/>
      <c r="J21" s="65"/>
      <c r="K21" s="65"/>
      <c r="L21" s="65"/>
      <c r="M21" s="65">
        <f>SUM(M15:M20)</f>
        <v>217.7</v>
      </c>
      <c r="N21" s="65">
        <f>SUM(N15:N20)</f>
        <v>261.23999999999995</v>
      </c>
    </row>
    <row r="22" spans="1:19" x14ac:dyDescent="0.25">
      <c r="I22" s="65"/>
      <c r="J22" s="65"/>
      <c r="K22" s="65"/>
      <c r="L22" s="65"/>
      <c r="M22" s="65"/>
      <c r="N22" s="65"/>
    </row>
    <row r="23" spans="1:19" x14ac:dyDescent="0.25">
      <c r="I23" s="65"/>
      <c r="J23" s="65"/>
      <c r="K23" s="65"/>
      <c r="L23" s="65"/>
      <c r="M23" s="65"/>
      <c r="N23" s="65"/>
    </row>
  </sheetData>
  <mergeCells count="16">
    <mergeCell ref="I12:N12"/>
    <mergeCell ref="I1:M1"/>
    <mergeCell ref="O1:R1"/>
    <mergeCell ref="I2:M2"/>
    <mergeCell ref="O2:R2"/>
    <mergeCell ref="O3:R3"/>
    <mergeCell ref="B2:E2"/>
    <mergeCell ref="A1:E1"/>
    <mergeCell ref="A2:A3"/>
    <mergeCell ref="A8:A9"/>
    <mergeCell ref="B8:E8"/>
    <mergeCell ref="M13:N13"/>
    <mergeCell ref="P15:S15"/>
    <mergeCell ref="P16:S16"/>
    <mergeCell ref="A13:A14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Données exploitation</vt:lpstr>
      <vt:lpstr>Calendrier des travaux PASSAGE</vt:lpstr>
      <vt:lpstr>Conseil ASG</vt:lpstr>
      <vt:lpstr>Bilan sanitaire Bv</vt:lpstr>
      <vt:lpstr>Données technico eco</vt:lpstr>
      <vt:lpstr>Suivi tps et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ANTUNES</cp:lastModifiedBy>
  <cp:revision/>
  <dcterms:created xsi:type="dcterms:W3CDTF">2025-12-10T08:35:07Z</dcterms:created>
  <dcterms:modified xsi:type="dcterms:W3CDTF">2026-07-27T09:04:57Z</dcterms:modified>
  <cp:category/>
  <cp:contentStatus/>
</cp:coreProperties>
</file>